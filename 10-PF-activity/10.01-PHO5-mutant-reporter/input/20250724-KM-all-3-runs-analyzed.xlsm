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/>
  <mc:AlternateContent xmlns:mc="http://schemas.openxmlformats.org/markup-compatibility/2006">
    <mc:Choice Requires="x15">
      <x15ac:absPath xmlns:x15ac="http://schemas.microsoft.com/office/spreadsheetml/2010/11/ac" url="/Users/bhe2/Documents/work/current/E013-Pho4-evolution/10-PF-activity/10.01-PHO5-mutant-reporter/input/"/>
    </mc:Choice>
  </mc:AlternateContent>
  <xr:revisionPtr revIDLastSave="0" documentId="13_ncr:1_{460CB0EC-CCD6-BD4A-9169-C27F66991BB9}" xr6:coauthVersionLast="47" xr6:coauthVersionMax="47" xr10:uidLastSave="{00000000-0000-0000-0000-000000000000}"/>
  <bookViews>
    <workbookView xWindow="1180" yWindow="4740" windowWidth="21280" windowHeight="16940" activeTab="1" xr2:uid="{D0C029E6-640A-594F-B567-F2752200199D}"/>
  </bookViews>
  <sheets>
    <sheet name="Stats" sheetId="1" r:id="rId1"/>
    <sheet name="Analyzed Data from 3 prod flow" sheetId="2" r:id="rId2"/>
    <sheet name="Sheet2" sheetId="3" r:id="rId3"/>
  </sheets>
  <definedNames>
    <definedName name="_xlnm._FilterDatabase" localSheetId="0" hidden="1">Stats!$A$1:$AD$433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F13" i="2" l="1" a="1"/>
  <c r="EF13" i="2" s="1"/>
  <c r="ED13" i="2" a="1"/>
  <c r="ED13" i="2" s="1"/>
  <c r="EC13" i="2" a="1"/>
  <c r="EC13" i="2" s="1"/>
  <c r="DZ13" i="2" a="1"/>
  <c r="DZ13" i="2" s="1"/>
  <c r="EF12" i="2" a="1"/>
  <c r="EF12" i="2" s="1"/>
  <c r="EC12" i="2" a="1"/>
  <c r="EC12" i="2" s="1"/>
  <c r="DZ12" i="2" a="1"/>
  <c r="DZ12" i="2" s="1"/>
  <c r="EF11" i="2" a="1"/>
  <c r="EF11" i="2" s="1"/>
  <c r="EC11" i="2" a="1"/>
  <c r="EC11" i="2" s="1"/>
  <c r="DZ11" i="2" a="1"/>
  <c r="DZ11" i="2" s="1"/>
  <c r="EF10" i="2" a="1"/>
  <c r="EF10" i="2" s="1"/>
  <c r="EC10" i="2" a="1"/>
  <c r="EC10" i="2" s="1"/>
  <c r="DZ10" i="2" a="1"/>
  <c r="DZ10" i="2" s="1"/>
  <c r="EF9" i="2" a="1"/>
  <c r="EF9" i="2" s="1"/>
  <c r="EC9" i="2" a="1"/>
  <c r="EC9" i="2" s="1"/>
  <c r="DZ9" i="2" a="1"/>
  <c r="DZ9" i="2" s="1"/>
  <c r="EF8" i="2" a="1"/>
  <c r="EF8" i="2" s="1"/>
  <c r="EC8" i="2" a="1"/>
  <c r="EC8" i="2" s="1"/>
  <c r="DZ8" i="2" a="1"/>
  <c r="DZ8" i="2" s="1"/>
  <c r="EF7" i="2" a="1"/>
  <c r="EF7" i="2" s="1"/>
  <c r="EC7" i="2" a="1"/>
  <c r="EC7" i="2" s="1"/>
  <c r="DZ7" i="2" a="1"/>
  <c r="DZ7" i="2" s="1"/>
  <c r="EF6" i="2" a="1"/>
  <c r="EF6" i="2" s="1"/>
  <c r="EC6" i="2" a="1"/>
  <c r="EC6" i="2" s="1"/>
  <c r="DZ6" i="2" a="1"/>
  <c r="DZ6" i="2" s="1"/>
  <c r="EF5" i="2" a="1"/>
  <c r="EF5" i="2" s="1"/>
  <c r="EC5" i="2" a="1"/>
  <c r="EC5" i="2" s="1"/>
  <c r="DZ5" i="2" a="1"/>
  <c r="DZ5" i="2" s="1"/>
  <c r="EF4" i="2" a="1"/>
  <c r="EF4" i="2" s="1"/>
  <c r="EC4" i="2" a="1"/>
  <c r="EC4" i="2" s="1"/>
  <c r="DZ4" i="2" a="1"/>
  <c r="DZ4" i="2" s="1"/>
  <c r="EF3" i="2" a="1"/>
  <c r="EF3" i="2" s="1"/>
  <c r="EC3" i="2" a="1"/>
  <c r="EC3" i="2" s="1"/>
  <c r="DZ3" i="2" a="1"/>
  <c r="DZ3" i="2" s="1"/>
  <c r="EI2" i="2"/>
  <c r="EF2" i="2" a="1"/>
  <c r="EF2" i="2" s="1"/>
  <c r="EC2" i="2" a="1"/>
  <c r="EC2" i="2" s="1"/>
  <c r="DZ2" i="2" a="1"/>
  <c r="DZ2" i="2" s="1"/>
  <c r="BY14" i="2" a="1"/>
  <c r="BY14" i="2" s="1"/>
  <c r="BV14" i="2" a="1"/>
  <c r="BV14" i="2" s="1"/>
  <c r="BY13" i="2" a="1"/>
  <c r="BY13" i="2" s="1"/>
  <c r="BV13" i="2" a="1"/>
  <c r="BV13" i="2" s="1"/>
  <c r="BY12" i="2" a="1"/>
  <c r="BY12" i="2" s="1"/>
  <c r="BV12" i="2" a="1"/>
  <c r="BV12" i="2" s="1"/>
  <c r="BY11" i="2" a="1"/>
  <c r="BY11" i="2" s="1"/>
  <c r="BV11" i="2" a="1"/>
  <c r="BV11" i="2" s="1"/>
  <c r="BZ10" i="2" a="1"/>
  <c r="BZ10" i="2" s="1"/>
  <c r="BY10" i="2"/>
  <c r="BV10" i="2" a="1"/>
  <c r="BV10" i="2" s="1"/>
  <c r="BY9" i="2" a="1"/>
  <c r="BY9" i="2" s="1"/>
  <c r="BV9" i="2" a="1"/>
  <c r="BV9" i="2" s="1"/>
  <c r="BY8" i="2" a="1"/>
  <c r="BY8" i="2" s="1"/>
  <c r="BV8" i="2" a="1"/>
  <c r="BV8" i="2" s="1"/>
  <c r="BY7" i="2" a="1"/>
  <c r="BY7" i="2" s="1"/>
  <c r="BV7" i="2" a="1"/>
  <c r="BV7" i="2" s="1"/>
  <c r="BY6" i="2" a="1"/>
  <c r="BY6" i="2" s="1"/>
  <c r="BV6" i="2" a="1"/>
  <c r="BV6" i="2" s="1"/>
  <c r="BY5" i="2" a="1"/>
  <c r="BY5" i="2" s="1"/>
  <c r="BV5" i="2" a="1"/>
  <c r="BV5" i="2" s="1"/>
  <c r="CB4" i="2"/>
  <c r="CB15" i="2"/>
  <c r="BY4" i="2" a="1"/>
  <c r="BY4" i="2" s="1"/>
  <c r="BV4" i="2" a="1"/>
  <c r="BV4" i="2" s="1"/>
  <c r="BX3" i="2" a="1"/>
  <c r="BX3" i="2" s="1"/>
  <c r="BV3" i="2" a="1"/>
  <c r="BV3" i="2" s="1"/>
  <c r="DY29" i="2"/>
  <c r="DX12" i="2"/>
  <c r="DY28" i="2"/>
  <c r="DX8" i="2"/>
  <c r="DX28" i="2" s="1"/>
  <c r="DY27" i="2"/>
  <c r="DX4" i="2"/>
  <c r="DY26" i="2"/>
  <c r="DX13" i="2"/>
  <c r="DY25" i="2"/>
  <c r="DX9" i="2"/>
  <c r="DY24" i="2"/>
  <c r="DX5" i="2"/>
  <c r="DY23" i="2"/>
  <c r="DX10" i="2"/>
  <c r="DY22" i="2"/>
  <c r="DX6" i="2"/>
  <c r="DY21" i="2"/>
  <c r="DX2" i="2"/>
  <c r="DY18" i="2"/>
  <c r="DX3" i="2"/>
  <c r="DY20" i="2"/>
  <c r="DX11" i="2"/>
  <c r="DY19" i="2"/>
  <c r="DX7" i="2"/>
  <c r="DX19" i="2" s="1"/>
  <c r="DX27" i="2"/>
  <c r="DX29" i="2"/>
  <c r="DX26" i="2"/>
  <c r="DX25" i="2"/>
  <c r="DX24" i="2"/>
  <c r="DX23" i="2"/>
  <c r="DX22" i="2"/>
  <c r="DX20" i="2"/>
  <c r="DX21" i="2"/>
  <c r="DX18" i="2"/>
  <c r="BS10" i="2"/>
  <c r="BS9" i="2"/>
  <c r="BS8" i="2"/>
  <c r="BS7" i="2"/>
  <c r="BS6" i="2"/>
  <c r="BS5" i="2"/>
  <c r="BS4" i="2"/>
  <c r="BS3" i="2"/>
  <c r="BS14" i="2"/>
  <c r="BS13" i="2"/>
  <c r="BS12" i="2"/>
  <c r="BS11" i="2"/>
  <c r="DS3" i="2"/>
  <c r="DS4" i="2"/>
  <c r="DS5" i="2"/>
  <c r="DS6" i="2"/>
  <c r="DS7" i="2"/>
  <c r="DS8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S37" i="2"/>
  <c r="DS38" i="2"/>
  <c r="DS39" i="2"/>
  <c r="DS40" i="2"/>
  <c r="DS41" i="2"/>
  <c r="DS42" i="2"/>
  <c r="DS43" i="2"/>
  <c r="DS44" i="2"/>
  <c r="DS45" i="2"/>
  <c r="DS46" i="2"/>
  <c r="DS47" i="2"/>
  <c r="DS48" i="2"/>
  <c r="DS49" i="2"/>
  <c r="DS50" i="2"/>
  <c r="DS51" i="2"/>
  <c r="DS52" i="2"/>
  <c r="DS53" i="2"/>
  <c r="DS54" i="2"/>
  <c r="DS55" i="2"/>
  <c r="DS56" i="2"/>
  <c r="DS57" i="2"/>
  <c r="DS58" i="2"/>
  <c r="DS59" i="2"/>
  <c r="DS60" i="2"/>
  <c r="DS61" i="2"/>
  <c r="DS62" i="2"/>
  <c r="DS63" i="2"/>
  <c r="DS64" i="2"/>
  <c r="DS65" i="2"/>
  <c r="DS66" i="2"/>
  <c r="DS67" i="2"/>
  <c r="DS68" i="2"/>
  <c r="DS69" i="2"/>
  <c r="DS70" i="2"/>
  <c r="DS71" i="2"/>
  <c r="DS72" i="2"/>
  <c r="DS73" i="2"/>
  <c r="DS2" i="2"/>
  <c r="DG3" i="2"/>
  <c r="DG4" i="2"/>
  <c r="DG5" i="2"/>
  <c r="DG6" i="2"/>
  <c r="DG7" i="2"/>
  <c r="DG8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53" i="2"/>
  <c r="DG54" i="2"/>
  <c r="DG55" i="2"/>
  <c r="DG56" i="2"/>
  <c r="DG57" i="2"/>
  <c r="DG58" i="2"/>
  <c r="DG59" i="2"/>
  <c r="DG60" i="2"/>
  <c r="DG61" i="2"/>
  <c r="DG62" i="2"/>
  <c r="DG63" i="2"/>
  <c r="DG64" i="2"/>
  <c r="DG65" i="2"/>
  <c r="DG66" i="2"/>
  <c r="DG67" i="2"/>
  <c r="DG68" i="2"/>
  <c r="DG69" i="2"/>
  <c r="DG70" i="2"/>
  <c r="DG71" i="2"/>
  <c r="DG72" i="2"/>
  <c r="DG73" i="2"/>
  <c r="DG2" i="2"/>
  <c r="DD4" i="2"/>
  <c r="CY3" i="2"/>
  <c r="CY4" i="2"/>
  <c r="CY5" i="2"/>
  <c r="CY6" i="2"/>
  <c r="CY7" i="2"/>
  <c r="CY8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Y37" i="2"/>
  <c r="CY38" i="2"/>
  <c r="CY39" i="2"/>
  <c r="CY40" i="2"/>
  <c r="CY41" i="2"/>
  <c r="CY42" i="2"/>
  <c r="CY43" i="2"/>
  <c r="CY44" i="2"/>
  <c r="CY45" i="2"/>
  <c r="CY46" i="2"/>
  <c r="CY47" i="2"/>
  <c r="CY48" i="2"/>
  <c r="CY49" i="2"/>
  <c r="CY50" i="2"/>
  <c r="CY51" i="2"/>
  <c r="CY52" i="2"/>
  <c r="CY53" i="2"/>
  <c r="CY54" i="2"/>
  <c r="CY55" i="2"/>
  <c r="CY56" i="2"/>
  <c r="CY57" i="2"/>
  <c r="CY58" i="2"/>
  <c r="CY59" i="2"/>
  <c r="CY60" i="2"/>
  <c r="CY61" i="2"/>
  <c r="CY62" i="2"/>
  <c r="CY63" i="2"/>
  <c r="CY64" i="2"/>
  <c r="CY65" i="2"/>
  <c r="CY66" i="2"/>
  <c r="CY67" i="2"/>
  <c r="CY68" i="2"/>
  <c r="CY69" i="2"/>
  <c r="CY70" i="2"/>
  <c r="CY71" i="2"/>
  <c r="CY72" i="2"/>
  <c r="CY73" i="2"/>
  <c r="CY2" i="2"/>
  <c r="CV4" i="2"/>
  <c r="BU44" i="2"/>
  <c r="BU43" i="2"/>
  <c r="BU42" i="2"/>
  <c r="BU41" i="2"/>
  <c r="BU40" i="2"/>
  <c r="BU39" i="2"/>
  <c r="BU38" i="2"/>
  <c r="BU37" i="2"/>
  <c r="BU35" i="2"/>
  <c r="BU34" i="2"/>
  <c r="BT44" i="2"/>
  <c r="BT43" i="2"/>
  <c r="BT42" i="2"/>
  <c r="BT41" i="2"/>
  <c r="BT40" i="2"/>
  <c r="BT39" i="2"/>
  <c r="BT38" i="2"/>
  <c r="BT37" i="2"/>
  <c r="BT35" i="2"/>
  <c r="BT34" i="2"/>
  <c r="BU36" i="2"/>
  <c r="BU33" i="2"/>
  <c r="BT36" i="2"/>
  <c r="BT33" i="2"/>
  <c r="BS44" i="2"/>
  <c r="BS43" i="2"/>
  <c r="BS42" i="2"/>
  <c r="BS41" i="2"/>
  <c r="BS40" i="2"/>
  <c r="BS39" i="2"/>
  <c r="BS38" i="2"/>
  <c r="BS37" i="2"/>
  <c r="BS36" i="2"/>
  <c r="BS35" i="2"/>
  <c r="BS34" i="2"/>
  <c r="BS33" i="2"/>
  <c r="BU28" i="2"/>
  <c r="BU27" i="2"/>
  <c r="BU26" i="2"/>
  <c r="BU25" i="2"/>
  <c r="BU24" i="2"/>
  <c r="BU23" i="2"/>
  <c r="BU22" i="2"/>
  <c r="BU21" i="2"/>
  <c r="BU20" i="2"/>
  <c r="BU19" i="2"/>
  <c r="BU18" i="2"/>
  <c r="BU17" i="2"/>
  <c r="BT28" i="2"/>
  <c r="BT27" i="2"/>
  <c r="BT26" i="2"/>
  <c r="BT25" i="2"/>
  <c r="BT24" i="2"/>
  <c r="BT23" i="2"/>
  <c r="BT20" i="2"/>
  <c r="BT19" i="2"/>
  <c r="BT18" i="2"/>
  <c r="BT17" i="2"/>
  <c r="BT22" i="2"/>
  <c r="BT21" i="2"/>
  <c r="BS28" i="2"/>
  <c r="BS27" i="2"/>
  <c r="BS26" i="2"/>
  <c r="BS25" i="2"/>
  <c r="BS24" i="2"/>
  <c r="BS23" i="2"/>
  <c r="BS22" i="2"/>
  <c r="BS21" i="2"/>
  <c r="BS20" i="2"/>
  <c r="BS19" i="2"/>
  <c r="BS18" i="2"/>
  <c r="BS17" i="2"/>
  <c r="BI2" i="2"/>
  <c r="BL2" i="2"/>
  <c r="Y2" i="2"/>
  <c r="BO3" i="2"/>
  <c r="BO4" i="2"/>
  <c r="BO5" i="2"/>
  <c r="BO6" i="2"/>
  <c r="BO7" i="2"/>
  <c r="BO8" i="2"/>
  <c r="BO9" i="2"/>
  <c r="BO10" i="2"/>
  <c r="BO11" i="2"/>
  <c r="BO12" i="2"/>
  <c r="BO13" i="2"/>
  <c r="BO14" i="2"/>
  <c r="BO2" i="2"/>
  <c r="BL3" i="2"/>
  <c r="BL4" i="2"/>
  <c r="BL5" i="2"/>
  <c r="BL6" i="2"/>
  <c r="BL7" i="2"/>
  <c r="BL8" i="2"/>
  <c r="BL9" i="2"/>
  <c r="BL10" i="2"/>
  <c r="BL11" i="2"/>
  <c r="BL12" i="2"/>
  <c r="BL13" i="2"/>
  <c r="BL14" i="2"/>
  <c r="BI16" i="2"/>
  <c r="BI15" i="2"/>
  <c r="BI17" i="2"/>
  <c r="BI18" i="2"/>
  <c r="BI22" i="2"/>
  <c r="BI21" i="2"/>
  <c r="BI19" i="2"/>
  <c r="BI10" i="2"/>
  <c r="BI9" i="2"/>
  <c r="BI20" i="2"/>
  <c r="BI14" i="2"/>
  <c r="BI13" i="2"/>
  <c r="BI12" i="2"/>
  <c r="BI11" i="2"/>
  <c r="BI8" i="2"/>
  <c r="BI7" i="2"/>
  <c r="BI6" i="2"/>
  <c r="BI5" i="2"/>
  <c r="BI4" i="2"/>
  <c r="BI3" i="2"/>
  <c r="BF3" i="2"/>
  <c r="BF4" i="2"/>
  <c r="BF5" i="2"/>
  <c r="BF6" i="2"/>
  <c r="BF7" i="2"/>
  <c r="BF8" i="2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F32" i="2"/>
  <c r="BF33" i="2"/>
  <c r="BF34" i="2"/>
  <c r="BF35" i="2"/>
  <c r="BF36" i="2"/>
  <c r="BF37" i="2"/>
  <c r="BF38" i="2"/>
  <c r="BF39" i="2"/>
  <c r="BF40" i="2"/>
  <c r="BF41" i="2"/>
  <c r="BF42" i="2"/>
  <c r="BF43" i="2"/>
  <c r="BF44" i="2"/>
  <c r="BF45" i="2"/>
  <c r="BF46" i="2"/>
  <c r="BF47" i="2"/>
  <c r="BF48" i="2"/>
  <c r="BF49" i="2"/>
  <c r="BF50" i="2"/>
  <c r="BF51" i="2"/>
  <c r="BF52" i="2"/>
  <c r="BF53" i="2"/>
  <c r="BF54" i="2"/>
  <c r="BF55" i="2"/>
  <c r="BF56" i="2"/>
  <c r="BF57" i="2"/>
  <c r="BF58" i="2"/>
  <c r="BF59" i="2"/>
  <c r="BF60" i="2"/>
  <c r="BF61" i="2"/>
  <c r="BF62" i="2"/>
  <c r="BF63" i="2"/>
  <c r="BF64" i="2"/>
  <c r="BF65" i="2"/>
  <c r="BF66" i="2"/>
  <c r="BF67" i="2"/>
  <c r="BF68" i="2"/>
  <c r="BF69" i="2"/>
  <c r="BF70" i="2"/>
  <c r="BF71" i="2"/>
  <c r="BF72" i="2"/>
  <c r="BF73" i="2"/>
  <c r="BF2" i="2"/>
  <c r="BC3" i="2"/>
  <c r="BC4" i="2"/>
  <c r="BC5" i="2"/>
  <c r="BC6" i="2"/>
  <c r="BC7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2" i="2"/>
  <c r="AZ4" i="2"/>
  <c r="AS3" i="2"/>
  <c r="AS4" i="2"/>
  <c r="AS5" i="2"/>
  <c r="AS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2" i="2"/>
  <c r="AP4" i="2"/>
  <c r="AC3" i="2"/>
  <c r="AC4" i="2"/>
  <c r="AC5" i="2"/>
  <c r="AC6" i="2"/>
  <c r="AC7" i="2"/>
  <c r="AC8" i="2"/>
  <c r="AC9" i="2"/>
  <c r="AC10" i="2"/>
  <c r="AC11" i="2"/>
  <c r="AC12" i="2"/>
  <c r="AC13" i="2"/>
  <c r="AC14" i="2"/>
  <c r="AC2" i="2"/>
  <c r="Y3" i="2"/>
  <c r="Y22" i="2"/>
  <c r="Y21" i="2"/>
  <c r="Y16" i="2"/>
  <c r="Y17" i="2"/>
  <c r="Y18" i="2"/>
  <c r="Y19" i="2"/>
  <c r="Y20" i="2"/>
  <c r="Y15" i="2"/>
  <c r="Y14" i="2"/>
  <c r="Y13" i="2"/>
  <c r="Y12" i="2"/>
  <c r="Y11" i="2"/>
  <c r="Y10" i="2"/>
  <c r="Y9" i="2"/>
  <c r="Y8" i="2"/>
  <c r="Y7" i="2"/>
  <c r="Y6" i="2"/>
  <c r="Y5" i="2"/>
  <c r="Y4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2" i="2"/>
  <c r="N4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2" i="2"/>
  <c r="E4" i="2"/>
  <c r="EI12" i="2" l="1"/>
  <c r="EI11" i="2"/>
  <c r="EI10" i="2"/>
  <c r="EI9" i="2"/>
  <c r="EI8" i="2"/>
  <c r="EI6" i="2"/>
  <c r="EI13" i="2"/>
  <c r="EI4" i="2"/>
  <c r="EI7" i="2"/>
  <c r="EI5" i="2"/>
  <c r="EI3" i="2"/>
  <c r="CB14" i="2"/>
  <c r="CB13" i="2"/>
  <c r="CB12" i="2"/>
  <c r="CB11" i="2"/>
  <c r="CB10" i="2"/>
  <c r="CB9" i="2"/>
  <c r="CB8" i="2"/>
  <c r="CB7" i="2"/>
  <c r="CB6" i="2"/>
  <c r="CB5" i="2"/>
  <c r="C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<sst xmlns="http://schemas.openxmlformats.org/spreadsheetml/2006/main" count="7608" uniqueCount="248">
  <si>
    <t>Plate</t>
  </si>
  <si>
    <t>Experiment</t>
  </si>
  <si>
    <t>Group</t>
  </si>
  <si>
    <t>Filename</t>
  </si>
  <si>
    <t>Sample</t>
  </si>
  <si>
    <t>Workspace</t>
  </si>
  <si>
    <t>Compensation Source</t>
  </si>
  <si>
    <t>Plot Title</t>
  </si>
  <si>
    <t>Gate</t>
  </si>
  <si>
    <t>X Parameter</t>
  </si>
  <si>
    <t>Y Parameter</t>
  </si>
  <si>
    <t>Count</t>
  </si>
  <si>
    <t>Volume</t>
  </si>
  <si>
    <t>Concentration</t>
  </si>
  <si>
    <t>%Total</t>
  </si>
  <si>
    <t>%Gated</t>
  </si>
  <si>
    <t>X Mean</t>
  </si>
  <si>
    <t>Y Mean</t>
  </si>
  <si>
    <t>X Median</t>
  </si>
  <si>
    <t>Y Median</t>
  </si>
  <si>
    <t>X Peak</t>
  </si>
  <si>
    <t>Y Peak</t>
  </si>
  <si>
    <t>X SD</t>
  </si>
  <si>
    <t>Y SD</t>
  </si>
  <si>
    <t>X %CV</t>
  </si>
  <si>
    <t>Y %CV</t>
  </si>
  <si>
    <t>X rSD</t>
  </si>
  <si>
    <t>Y rSD</t>
  </si>
  <si>
    <t>X %rCV</t>
  </si>
  <si>
    <t>Y %rCV</t>
  </si>
  <si>
    <t>Kelsey Flow 7-15-2024</t>
  </si>
  <si>
    <t>A2.fcs</t>
  </si>
  <si>
    <t>None</t>
  </si>
  <si>
    <t>N/A</t>
  </si>
  <si>
    <t>All Events</t>
  </si>
  <si>
    <t>R1</t>
  </si>
  <si>
    <t>FSC-H</t>
  </si>
  <si>
    <t>SSC-H</t>
  </si>
  <si>
    <t>R2</t>
  </si>
  <si>
    <t>FSC-W</t>
  </si>
  <si>
    <t>BL1-H</t>
  </si>
  <si>
    <t>YL2-H</t>
  </si>
  <si>
    <t>A1.fcs</t>
  </si>
  <si>
    <t>A3.fcs</t>
  </si>
  <si>
    <t>A4.fcs</t>
  </si>
  <si>
    <t>A5.fcs</t>
  </si>
  <si>
    <t>A6.fcs</t>
  </si>
  <si>
    <t>A7.fcs</t>
  </si>
  <si>
    <t>A8.fcs</t>
  </si>
  <si>
    <t>A9.fcs</t>
  </si>
  <si>
    <t>B1.fcs</t>
  </si>
  <si>
    <t>B2.fcs</t>
  </si>
  <si>
    <t>B3.fcs</t>
  </si>
  <si>
    <t>B4.fcs</t>
  </si>
  <si>
    <t>B5.fcs</t>
  </si>
  <si>
    <t>B6.fcs</t>
  </si>
  <si>
    <t>B7.fcs</t>
  </si>
  <si>
    <t>B8.fcs</t>
  </si>
  <si>
    <t>B9.fcs</t>
  </si>
  <si>
    <t>C1.fcs</t>
  </si>
  <si>
    <t>C2.fcs</t>
  </si>
  <si>
    <t>C3.fcs</t>
  </si>
  <si>
    <t>C4.fcs</t>
  </si>
  <si>
    <t>C5.fcs</t>
  </si>
  <si>
    <t>C6.fcs</t>
  </si>
  <si>
    <t>C7.fcs</t>
  </si>
  <si>
    <t>C8.fcs</t>
  </si>
  <si>
    <t>C9.fcs</t>
  </si>
  <si>
    <t>D1.fcs</t>
  </si>
  <si>
    <t>D2.fcs</t>
  </si>
  <si>
    <t>D3.fcs</t>
  </si>
  <si>
    <t>D4.fcs</t>
  </si>
  <si>
    <t>D5.fcs</t>
  </si>
  <si>
    <t>D6.fcs</t>
  </si>
  <si>
    <t>D7.fcs</t>
  </si>
  <si>
    <t>D8.fcs</t>
  </si>
  <si>
    <t>D9.fcs</t>
  </si>
  <si>
    <t>E1.fcs</t>
  </si>
  <si>
    <t>E2.fcs</t>
  </si>
  <si>
    <t>E3.fcs</t>
  </si>
  <si>
    <t>E4.fcs</t>
  </si>
  <si>
    <t>E5.fcs</t>
  </si>
  <si>
    <t>E6.fcs</t>
  </si>
  <si>
    <t>E7.fcs</t>
  </si>
  <si>
    <t>E8.fcs</t>
  </si>
  <si>
    <t>E9.fcs</t>
  </si>
  <si>
    <t>F1.fcs</t>
  </si>
  <si>
    <t>F2.fcs</t>
  </si>
  <si>
    <t>F3.fcs</t>
  </si>
  <si>
    <t>F4.fcs</t>
  </si>
  <si>
    <t>F5.fcs</t>
  </si>
  <si>
    <t>F6.fcs</t>
  </si>
  <si>
    <t>F7.fcs</t>
  </si>
  <si>
    <t>F8.fcs</t>
  </si>
  <si>
    <t>F9.fcs</t>
  </si>
  <si>
    <t>G1.fcs</t>
  </si>
  <si>
    <t>G2.fcs</t>
  </si>
  <si>
    <t>G3.fcs</t>
  </si>
  <si>
    <t>G4.fcs</t>
  </si>
  <si>
    <t>G5.fcs</t>
  </si>
  <si>
    <t>G6.fcs</t>
  </si>
  <si>
    <t>G7.fcs</t>
  </si>
  <si>
    <t>G8.fcs</t>
  </si>
  <si>
    <t>G9.fcs</t>
  </si>
  <si>
    <t>H1.fcs</t>
  </si>
  <si>
    <t>H2.fcs</t>
  </si>
  <si>
    <t>H3.fcs</t>
  </si>
  <si>
    <t>H4.fcs</t>
  </si>
  <si>
    <t>H5.fcs</t>
  </si>
  <si>
    <t>H6.fcs</t>
  </si>
  <si>
    <t>H7.fcs</t>
  </si>
  <si>
    <t>H8.fcs</t>
  </si>
  <si>
    <t>H9.fcs</t>
  </si>
  <si>
    <t>P</t>
  </si>
  <si>
    <t>B</t>
  </si>
  <si>
    <t>yH632+pH188#49</t>
  </si>
  <si>
    <t>yH632+pH188#50</t>
  </si>
  <si>
    <t>yH632+pH188#51</t>
  </si>
  <si>
    <t>yH555+pH188</t>
  </si>
  <si>
    <t>yH555+pH188-1</t>
  </si>
  <si>
    <t>P-1</t>
  </si>
  <si>
    <t>P-2</t>
  </si>
  <si>
    <t>yH555+pH188-2</t>
  </si>
  <si>
    <t>yH555+pH188-3</t>
  </si>
  <si>
    <t>B-1</t>
  </si>
  <si>
    <t>P-3</t>
  </si>
  <si>
    <t>yH633+pH188 #57</t>
  </si>
  <si>
    <t>yH633+pH188 #58</t>
  </si>
  <si>
    <t>yH633+pH188 #59</t>
  </si>
  <si>
    <t>N-2</t>
  </si>
  <si>
    <t>yH373+pH188-1</t>
  </si>
  <si>
    <t>yH373+pH188-2</t>
  </si>
  <si>
    <t>yH373+pH188-3</t>
  </si>
  <si>
    <t>H2-3</t>
  </si>
  <si>
    <t>P-4</t>
  </si>
  <si>
    <t>yH632+pH194#17</t>
  </si>
  <si>
    <t>yH632+pH194#18</t>
  </si>
  <si>
    <t>yH632+pH194#19</t>
  </si>
  <si>
    <t>B-2</t>
  </si>
  <si>
    <t>P-5</t>
  </si>
  <si>
    <t>yH555+pH194-1</t>
  </si>
  <si>
    <t>yH555+pH194-2</t>
  </si>
  <si>
    <t>yH555+pH194-3</t>
  </si>
  <si>
    <t>P-6</t>
  </si>
  <si>
    <t>H1-1</t>
  </si>
  <si>
    <t>yH633+pH194#25</t>
  </si>
  <si>
    <t>yH633+pH194#26</t>
  </si>
  <si>
    <t>yH633+pH194#27</t>
  </si>
  <si>
    <t>yH373+pH194-1</t>
  </si>
  <si>
    <t>yH373+pH194-2</t>
  </si>
  <si>
    <t>yH373+pH194-3</t>
  </si>
  <si>
    <t>N-3</t>
  </si>
  <si>
    <t>P-7</t>
  </si>
  <si>
    <t>H1-3</t>
  </si>
  <si>
    <t xml:space="preserve"> yH825+pH188#33</t>
  </si>
  <si>
    <t xml:space="preserve"> yH825+pH188#34</t>
  </si>
  <si>
    <t xml:space="preserve"> yH825+pH188#35</t>
  </si>
  <si>
    <t>P-8</t>
  </si>
  <si>
    <t>979-1</t>
  </si>
  <si>
    <t>979-2</t>
  </si>
  <si>
    <t>979-3</t>
  </si>
  <si>
    <t>P-9</t>
  </si>
  <si>
    <t>H2-1</t>
  </si>
  <si>
    <t xml:space="preserve"> yH979+pH188#41</t>
  </si>
  <si>
    <t xml:space="preserve"> yH979+pH188#42</t>
  </si>
  <si>
    <t xml:space="preserve"> yH979+pH188#43</t>
  </si>
  <si>
    <t>H1-2</t>
  </si>
  <si>
    <t>825-1</t>
  </si>
  <si>
    <t>825-2</t>
  </si>
  <si>
    <t>825-3</t>
  </si>
  <si>
    <t>B-3</t>
  </si>
  <si>
    <t>P-10</t>
  </si>
  <si>
    <t xml:space="preserve"> yH825+pH194#9</t>
  </si>
  <si>
    <t xml:space="preserve"> yH825+pH194#10</t>
  </si>
  <si>
    <t xml:space="preserve"> yH825+pH194#11</t>
  </si>
  <si>
    <t>P-11</t>
  </si>
  <si>
    <t>555-1</t>
  </si>
  <si>
    <t>555-2</t>
  </si>
  <si>
    <t>555-3</t>
  </si>
  <si>
    <t>P-12</t>
  </si>
  <si>
    <t>N-1</t>
  </si>
  <si>
    <t>yH979+pH194 #1</t>
  </si>
  <si>
    <t>yH979+pH194 #2</t>
  </si>
  <si>
    <t>yH979+pH194 #3</t>
  </si>
  <si>
    <t>H2-2</t>
  </si>
  <si>
    <t>373-1</t>
  </si>
  <si>
    <t>373-2</t>
  </si>
  <si>
    <t>373-3</t>
  </si>
  <si>
    <t>Samples</t>
  </si>
  <si>
    <t>X Median - mNeon (Avg. of Negatives not subtracted)</t>
  </si>
  <si>
    <t>Avg.</t>
  </si>
  <si>
    <t>X Median - mNeon (Avg. of negatives subtracted).</t>
  </si>
  <si>
    <t>X Median mCherry (Avg. of Neg. not subtracted).</t>
  </si>
  <si>
    <t xml:space="preserve">Avg. </t>
  </si>
  <si>
    <t>X Median mCherry (Avg. of Neg. subtracted)</t>
  </si>
  <si>
    <t>X-median normalized mCherry/mNeon (Not averaged).</t>
  </si>
  <si>
    <t>yH632+pH188</t>
  </si>
  <si>
    <t>A2 weird</t>
  </si>
  <si>
    <t>yH632+pH194</t>
  </si>
  <si>
    <t>yH633+pH188</t>
  </si>
  <si>
    <t>yH633+pH194</t>
  </si>
  <si>
    <t>yH825+pH188</t>
  </si>
  <si>
    <t>yH825+pH194</t>
  </si>
  <si>
    <t>yH979+pH188</t>
  </si>
  <si>
    <t>yH979+pH194</t>
  </si>
  <si>
    <t>yH555+pH194</t>
  </si>
  <si>
    <t>yH373+pH188</t>
  </si>
  <si>
    <t>yH373+pH194</t>
  </si>
  <si>
    <t>yH632 (H1)</t>
  </si>
  <si>
    <t>yH633 (H2)</t>
  </si>
  <si>
    <t>yH825</t>
  </si>
  <si>
    <t>yH979</t>
  </si>
  <si>
    <t>yH555</t>
  </si>
  <si>
    <t>yH373</t>
  </si>
  <si>
    <t>N</t>
  </si>
  <si>
    <t xml:space="preserve">Round 2 Flow data </t>
  </si>
  <si>
    <t>Round 2 Flow data</t>
  </si>
  <si>
    <t>X - Median mNeon (Neg. Average not subtracted. Not averaged</t>
  </si>
  <si>
    <t>X-Median (mNeon Neg. Average Subtracted).  Not averaged.</t>
  </si>
  <si>
    <t>X-Median mCherry (Neg. Avg. not subtracted) Not averaged.</t>
  </si>
  <si>
    <t>X-Median (mCherry Neg. Avg. subtracted) Not averaged.</t>
  </si>
  <si>
    <t>Normalized Values mCherry/mNeon (Not averaged). Neg. Avg. subtracted.</t>
  </si>
  <si>
    <t>Normalized Values mCherry/mNeon (Averaged). Neg.Avg. subtracted.</t>
  </si>
  <si>
    <t>Normalized Values Finalized All 6 data points averaged.</t>
  </si>
  <si>
    <t>Normalized Values Simplified. Second Run.</t>
  </si>
  <si>
    <t>Normalized Values Simplified. First Run.</t>
  </si>
  <si>
    <t>Only 5 data points for one of them,A2 first run.</t>
  </si>
  <si>
    <t xml:space="preserve">Sample list reorganized </t>
  </si>
  <si>
    <t>Normalized Values Finalized all 6 data points averaged.</t>
  </si>
  <si>
    <t>SD</t>
  </si>
  <si>
    <t>SE</t>
  </si>
  <si>
    <t xml:space="preserve">Normalized Values finalized. All 6 datapoints averaged. </t>
  </si>
  <si>
    <t>Data reorganized here to make a neater figure.</t>
  </si>
  <si>
    <t>X median mNeon non-averaged non subtracted values (raw values)</t>
  </si>
  <si>
    <t>Avg. of N.</t>
  </si>
  <si>
    <t>X median mNeon N. avg subtracted. Non- averaged.</t>
  </si>
  <si>
    <t>X median mCherry N. avg not subtracted Non-averaged.</t>
  </si>
  <si>
    <t>X-median mCherry N. avg. subtracted. Non-averaged.</t>
  </si>
  <si>
    <t>mCherry/mNeon non-averaged production run 3. N. avg subtracted.</t>
  </si>
  <si>
    <t>Production run 3</t>
  </si>
  <si>
    <t>Production rn 3</t>
  </si>
  <si>
    <t>Left out yH979+pH188#43 - Got a really low mNeon value for this, screwed up the average.</t>
  </si>
  <si>
    <t>Normalized values all 9 data points averaged.</t>
  </si>
  <si>
    <t>Normalized Values Finalized all 9 data points averaged. Reorganized format.</t>
  </si>
  <si>
    <t>Final Graph with all 9 data points included minus 2 datapoints which were outliers.</t>
  </si>
  <si>
    <t>NA</t>
  </si>
  <si>
    <t>all data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</si>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</sst>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/>
    <xf numFmtId="49" fontId="0" fillId="0" borderId="0" xfId="0" applyNumberFormat="1" applyAlignment="1">
      <alignment vertical="top"/>
    </xf>
    <xf numFmtId="0" fontId="0" fillId="0" borderId="0" xfId="0" applyAlignment="1">
      <alignment vertical="top"/>
    </xf>
    <xf numFmtId="0" fontId="14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'Analyzed Data from 3 prod flow'!$X$2:$X$22</c:f>
              <c:strCache>
                <c:ptCount val="21"/>
                <c:pt idx="0">
                  <c:v>P</c:v>
                </c:pt>
                <c:pt idx="1">
                  <c:v>yH632+pH188</c:v>
                </c:pt>
                <c:pt idx="2">
                  <c:v>yH632+pH194</c:v>
                </c:pt>
                <c:pt idx="3">
                  <c:v>yH633+pH188</c:v>
                </c:pt>
                <c:pt idx="4">
                  <c:v>yH633+pH194</c:v>
                </c:pt>
                <c:pt idx="5">
                  <c:v>yH825+pH188</c:v>
                </c:pt>
                <c:pt idx="6">
                  <c:v>yH825+pH194</c:v>
                </c:pt>
                <c:pt idx="7">
                  <c:v>yH979+pH188</c:v>
                </c:pt>
                <c:pt idx="8">
                  <c:v>yH979+pH194</c:v>
                </c:pt>
                <c:pt idx="9">
                  <c:v>yH555+pH188</c:v>
                </c:pt>
                <c:pt idx="10">
                  <c:v>yH555+pH194</c:v>
                </c:pt>
                <c:pt idx="11">
                  <c:v>yH373+pH188</c:v>
                </c:pt>
                <c:pt idx="12">
                  <c:v>yH373+pH194</c:v>
                </c:pt>
                <c:pt idx="13">
                  <c:v>yH632 (H1)</c:v>
                </c:pt>
                <c:pt idx="14">
                  <c:v>yH633 (H2)</c:v>
                </c:pt>
                <c:pt idx="15">
                  <c:v>yH825</c:v>
                </c:pt>
                <c:pt idx="16">
                  <c:v>yH979</c:v>
                </c:pt>
                <c:pt idx="17">
                  <c:v>yH555</c:v>
                </c:pt>
                <c:pt idx="18">
                  <c:v>yH373</c:v>
                </c:pt>
                <c:pt idx="19">
                  <c:v>B</c:v>
                </c:pt>
                <c:pt idx="20">
                  <c:v>N</c:v>
                </c:pt>
              </c:strCache>
            </c:strRef>
          </c:cat>
          <c:val>
            <c:numRef>
              <c:f>'Analyzed Data from 3 prod flow'!$Y$2:$Y$22</c:f>
              <c:numCache>
                <c:formatCode>General</c:formatCode>
                <c:ptCount val="21"/>
                <c:pt idx="0">
                  <c:v>56.113573619407127</c:v>
                </c:pt>
                <c:pt idx="1">
                  <c:v>28.152963411424057</c:v>
                </c:pt>
                <c:pt idx="2">
                  <c:v>9.4684952827263853</c:v>
                </c:pt>
                <c:pt idx="3">
                  <c:v>34.814235750029461</c:v>
                </c:pt>
                <c:pt idx="4">
                  <c:v>1.9238931030889415</c:v>
                </c:pt>
                <c:pt idx="5">
                  <c:v>2.2618263875102023</c:v>
                </c:pt>
                <c:pt idx="6">
                  <c:v>0.92603971122359452</c:v>
                </c:pt>
                <c:pt idx="7">
                  <c:v>3.0260204532244956</c:v>
                </c:pt>
                <c:pt idx="8">
                  <c:v>0.70539312232169371</c:v>
                </c:pt>
                <c:pt idx="9">
                  <c:v>57.95875135135136</c:v>
                </c:pt>
                <c:pt idx="10">
                  <c:v>57.84985877497968</c:v>
                </c:pt>
                <c:pt idx="11">
                  <c:v>53.959339043295465</c:v>
                </c:pt>
                <c:pt idx="12">
                  <c:v>2.5429397475246409</c:v>
                </c:pt>
                <c:pt idx="13">
                  <c:v>-19.752162698412697</c:v>
                </c:pt>
                <c:pt idx="14">
                  <c:v>-51.525346153846158</c:v>
                </c:pt>
                <c:pt idx="15">
                  <c:v>-19.413824074074071</c:v>
                </c:pt>
                <c:pt idx="16">
                  <c:v>-129.79511111111108</c:v>
                </c:pt>
                <c:pt idx="17">
                  <c:v>-19.550992340992337</c:v>
                </c:pt>
                <c:pt idx="18">
                  <c:v>23.78694444444444</c:v>
                </c:pt>
                <c:pt idx="19">
                  <c:v>-2.3898659220195215</c:v>
                </c:pt>
                <c:pt idx="20">
                  <c:v>9.6415343915344065E-2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6-CC4C-9F6F-E82205071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7782415"/>
        <c:axId val="827394975"/>
      </c:barChart>
      <c:catAx>
        <c:axId val="82778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394975"/>
        <c:crosses val="autoZero"/>
        <c:auto val="1"/>
        <c:lblAlgn val="ctr"/>
        <c:lblOffset val="100"/>
        <c:noMultiLvlLbl val="0"/>
      </c:catAx>
      <c:valAx>
        <c:axId val="82739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78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'Analyzed Data from 3 prod flow'!$AB$2:$AB$14</c:f>
              <c:strCache>
                <c:ptCount val="13"/>
                <c:pt idx="0">
                  <c:v>P</c:v>
                </c:pt>
                <c:pt idx="1">
                  <c:v>yH632+pH188</c:v>
                </c:pt>
                <c:pt idx="2">
                  <c:v>yH632+pH194</c:v>
                </c:pt>
                <c:pt idx="3">
                  <c:v>yH633+pH188</c:v>
                </c:pt>
                <c:pt idx="4">
                  <c:v>yH633+pH194</c:v>
                </c:pt>
                <c:pt idx="5">
                  <c:v>yH825+pH188</c:v>
                </c:pt>
                <c:pt idx="6">
                  <c:v>yH825+pH194</c:v>
                </c:pt>
                <c:pt idx="7">
                  <c:v>yH979+pH188</c:v>
                </c:pt>
                <c:pt idx="8">
                  <c:v>yH979+pH194</c:v>
                </c:pt>
                <c:pt idx="9">
                  <c:v>yH555+pH188</c:v>
                </c:pt>
                <c:pt idx="10">
                  <c:v>yH555+pH194</c:v>
                </c:pt>
                <c:pt idx="11">
                  <c:v>yH373+pH188</c:v>
                </c:pt>
                <c:pt idx="12">
                  <c:v>yH373+pH194</c:v>
                </c:pt>
              </c:strCache>
            </c:strRef>
          </c:cat>
          <c:val>
            <c:numRef>
              <c:f>'Analyzed Data from 3 prod flow'!$AC$2:$AC$14</c:f>
              <c:numCache>
                <c:formatCode>General</c:formatCode>
                <c:ptCount val="13"/>
                <c:pt idx="0">
                  <c:v>56.113573619407127</c:v>
                </c:pt>
                <c:pt idx="1">
                  <c:v>28.152963411424057</c:v>
                </c:pt>
                <c:pt idx="2">
                  <c:v>9.4684952827263853</c:v>
                </c:pt>
                <c:pt idx="3">
                  <c:v>34.814235750029461</c:v>
                </c:pt>
                <c:pt idx="4">
                  <c:v>1.9238931030889415</c:v>
                </c:pt>
                <c:pt idx="5">
                  <c:v>2.2618263875102023</c:v>
                </c:pt>
                <c:pt idx="6">
                  <c:v>0.92603971122359452</c:v>
                </c:pt>
                <c:pt idx="7">
                  <c:v>3.0260204532244956</c:v>
                </c:pt>
                <c:pt idx="8">
                  <c:v>0.70539312232169371</c:v>
                </c:pt>
                <c:pt idx="9">
                  <c:v>57.95875135135136</c:v>
                </c:pt>
                <c:pt idx="10">
                  <c:v>57.84985877497968</c:v>
                </c:pt>
                <c:pt idx="11">
                  <c:v>53.959339043295465</c:v>
                </c:pt>
                <c:pt idx="12">
                  <c:v>2.5429397475246409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1-774C-AFF3-7C3F971DE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51991631"/>
        <c:axId val="251993343"/>
      </c:barChart>
      <c:catAx>
        <c:axId val="251991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993343"/>
        <c:crosses val="autoZero"/>
        <c:auto val="1"/>
        <c:lblAlgn val="ctr"/>
        <c:lblOffset val="100"/>
        <c:noMultiLvlLbl val="0"/>
      </c:catAx>
      <c:valAx>
        <c:axId val="25199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991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392290026246719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'Analyzed Data from 3 prod flow'!$BI$1</c:f>
              <c:strCache>
                <c:ptCount val="1"/>
                <c:pt idx="0">
                  <c:v>Normalized Values mCherry/mNeon (Averaged). Neg.Avg. subtracted.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'Analyzed Data from 3 prod flow'!$BH$2:$BH$22</c:f>
              <c:strCache>
                <c:ptCount val="21"/>
                <c:pt idx="0">
                  <c:v>P</c:v>
                </c:pt>
                <c:pt idx="1">
                  <c:v>yH632+pH188</c:v>
                </c:pt>
                <c:pt idx="2">
                  <c:v>yH632+pH194</c:v>
                </c:pt>
                <c:pt idx="3">
                  <c:v>yH633+pH188</c:v>
                </c:pt>
                <c:pt idx="4">
                  <c:v>yH633+pH194</c:v>
                </c:pt>
                <c:pt idx="5">
                  <c:v>yH825+pH188</c:v>
                </c:pt>
                <c:pt idx="6">
                  <c:v>yH825+pH194</c:v>
                </c:pt>
                <c:pt idx="7">
                  <c:v>yH979+pH188</c:v>
                </c:pt>
                <c:pt idx="8">
                  <c:v>yH979+pH194</c:v>
                </c:pt>
                <c:pt idx="9">
                  <c:v>yH555+pH188</c:v>
                </c:pt>
                <c:pt idx="10">
                  <c:v>yH555+pH194</c:v>
                </c:pt>
                <c:pt idx="11">
                  <c:v>yH373+pH188</c:v>
                </c:pt>
                <c:pt idx="12">
                  <c:v>yH373+pH194</c:v>
                </c:pt>
                <c:pt idx="13">
                  <c:v>yH632 (H1)</c:v>
                </c:pt>
                <c:pt idx="14">
                  <c:v>yH633 (H2)</c:v>
                </c:pt>
                <c:pt idx="15">
                  <c:v>yH825</c:v>
                </c:pt>
                <c:pt idx="16">
                  <c:v>yH979</c:v>
                </c:pt>
                <c:pt idx="17">
                  <c:v>yH555</c:v>
                </c:pt>
                <c:pt idx="18">
                  <c:v>yH373</c:v>
                </c:pt>
                <c:pt idx="19">
                  <c:v>B</c:v>
                </c:pt>
                <c:pt idx="20">
                  <c:v>N</c:v>
                </c:pt>
              </c:strCache>
            </c:strRef>
          </c:cat>
          <c:val>
            <c:numRef>
              <c:f>'Analyzed Data from 3 prod flow'!$BI$2:$BI$22</c:f>
              <c:numCache>
                <c:formatCode>General</c:formatCode>
                <c:ptCount val="21"/>
                <c:pt idx="0">
                  <c:v>72.143339945675578</c:v>
                </c:pt>
                <c:pt idx="1">
                  <c:v>39.168709661848972</c:v>
                </c:pt>
                <c:pt idx="2">
                  <c:v>14.439393266853301</c:v>
                </c:pt>
                <c:pt idx="3">
                  <c:v>43.23431337740309</c:v>
                </c:pt>
                <c:pt idx="4">
                  <c:v>3.1893470867629166</c:v>
                </c:pt>
                <c:pt idx="5">
                  <c:v>3.1889139345075428</c:v>
                </c:pt>
                <c:pt idx="6">
                  <c:v>2.2825932776671825</c:v>
                </c:pt>
                <c:pt idx="7">
                  <c:v>4.8384860255985602</c:v>
                </c:pt>
                <c:pt idx="8">
                  <c:v>1.1796603707526809</c:v>
                </c:pt>
                <c:pt idx="9">
                  <c:v>69.936489600437881</c:v>
                </c:pt>
                <c:pt idx="10">
                  <c:v>65.855413764883579</c:v>
                </c:pt>
                <c:pt idx="11">
                  <c:v>59.010702528735635</c:v>
                </c:pt>
                <c:pt idx="12">
                  <c:v>2.553019455542906</c:v>
                </c:pt>
                <c:pt idx="13">
                  <c:v>-3.6158703703703643</c:v>
                </c:pt>
                <c:pt idx="14">
                  <c:v>-47.234646464646467</c:v>
                </c:pt>
                <c:pt idx="15">
                  <c:v>-28.679252645502643</c:v>
                </c:pt>
                <c:pt idx="16">
                  <c:v>-56.550273809523809</c:v>
                </c:pt>
                <c:pt idx="17">
                  <c:v>-35.478481481481474</c:v>
                </c:pt>
                <c:pt idx="18">
                  <c:v>-38.210777777777771</c:v>
                </c:pt>
                <c:pt idx="19">
                  <c:v>48.775394995300054</c:v>
                </c:pt>
                <c:pt idx="20">
                  <c:v>6.3517316017315847E-2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4-CE4C-8DC0-628425FF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655135"/>
        <c:axId val="352018511"/>
      </c:barChart>
      <c:catAx>
        <c:axId val="393655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018511"/>
        <c:crosses val="autoZero"/>
        <c:auto val="1"/>
        <c:lblAlgn val="ctr"/>
        <c:lblOffset val="100"/>
        <c:noMultiLvlLbl val="0"/>
      </c:catAx>
      <c:valAx>
        <c:axId val="35201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55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'Analyzed Data from 3 prod flow'!$BL$1</c:f>
              <c:strCache>
                <c:ptCount val="1"/>
                <c:pt idx="0">
                  <c:v>Normalized Values Simplified. Second Run.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'Analyzed Data from 3 prod flow'!$BK$2:$BK$14</c:f>
              <c:strCache>
                <c:ptCount val="13"/>
                <c:pt idx="0">
                  <c:v>P</c:v>
                </c:pt>
                <c:pt idx="1">
                  <c:v>yH632+pH188</c:v>
                </c:pt>
                <c:pt idx="2">
                  <c:v>yH632+pH194</c:v>
                </c:pt>
                <c:pt idx="3">
                  <c:v>yH633+pH188</c:v>
                </c:pt>
                <c:pt idx="4">
                  <c:v>yH633+pH194</c:v>
                </c:pt>
                <c:pt idx="5">
                  <c:v>yH825+pH188</c:v>
                </c:pt>
                <c:pt idx="6">
                  <c:v>yH825+pH194</c:v>
                </c:pt>
                <c:pt idx="7">
                  <c:v>yH979+pH188</c:v>
                </c:pt>
                <c:pt idx="8">
                  <c:v>yH979+pH194</c:v>
                </c:pt>
                <c:pt idx="9">
                  <c:v>yH555+pH188</c:v>
                </c:pt>
                <c:pt idx="10">
                  <c:v>yH555+pH194</c:v>
                </c:pt>
                <c:pt idx="11">
                  <c:v>yH373+pH188</c:v>
                </c:pt>
                <c:pt idx="12">
                  <c:v>yH373+pH194</c:v>
                </c:pt>
              </c:strCache>
            </c:strRef>
          </c:cat>
          <c:val>
            <c:numRef>
              <c:f>'Analyzed Data from 3 prod flow'!$BL$2:$BL$14</c:f>
              <c:numCache>
                <c:formatCode>General</c:formatCode>
                <c:ptCount val="13"/>
                <c:pt idx="0">
                  <c:v>72.143339945675578</c:v>
                </c:pt>
                <c:pt idx="1">
                  <c:v>39.168709661848972</c:v>
                </c:pt>
                <c:pt idx="2">
                  <c:v>14.439393266853301</c:v>
                </c:pt>
                <c:pt idx="3">
                  <c:v>43.23431337740309</c:v>
                </c:pt>
                <c:pt idx="4">
                  <c:v>3.1893470867629166</c:v>
                </c:pt>
                <c:pt idx="5">
                  <c:v>3.1889139345075428</c:v>
                </c:pt>
                <c:pt idx="6">
                  <c:v>2.2825932776671825</c:v>
                </c:pt>
                <c:pt idx="7">
                  <c:v>4.8384860255985602</c:v>
                </c:pt>
                <c:pt idx="8">
                  <c:v>1.1796603707526809</c:v>
                </c:pt>
                <c:pt idx="9">
                  <c:v>69.936489600437881</c:v>
                </c:pt>
                <c:pt idx="10">
                  <c:v>65.855413764883579</c:v>
                </c:pt>
                <c:pt idx="11">
                  <c:v>59.010702528735635</c:v>
                </c:pt>
                <c:pt idx="12">
                  <c:v>2.553019455542906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3-BF4F-9286-C32F49159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52066655"/>
        <c:axId val="186002639"/>
      </c:barChart>
      <c:catAx>
        <c:axId val="252066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02639"/>
        <c:crosses val="autoZero"/>
        <c:auto val="1"/>
        <c:lblAlgn val="ctr"/>
        <c:lblOffset val="100"/>
        <c:noMultiLvlLbl val="0"/>
      </c:catAx>
      <c:valAx>
        <c:axId val="18600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066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'Analyzed Data from 3 prod flow'!$BS$1</c:f>
              <c:strCache>
                <c:ptCount val="1"/>
                <c:pt idx="0">
                  <c:v>Normalized Values Finalized All 6 data points averaged.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'Analyzed Data from 3 prod flow'!$BR$2:$BR$14</c:f>
              <c:strCache>
                <c:ptCount val="13"/>
                <c:pt idx="1">
                  <c:v>yH632+pH188</c:v>
                </c:pt>
                <c:pt idx="2">
                  <c:v>yH632+pH194</c:v>
                </c:pt>
                <c:pt idx="3">
                  <c:v>yH633+pH188</c:v>
                </c:pt>
                <c:pt idx="4">
                  <c:v>yH633+pH194</c:v>
                </c:pt>
                <c:pt idx="5">
                  <c:v>yH825+pH188</c:v>
                </c:pt>
                <c:pt idx="6">
                  <c:v>yH825+pH194</c:v>
                </c:pt>
                <c:pt idx="7">
                  <c:v>yH979+pH188</c:v>
                </c:pt>
                <c:pt idx="8">
                  <c:v>yH979+pH194</c:v>
                </c:pt>
                <c:pt idx="9">
                  <c:v>yH555+pH188</c:v>
                </c:pt>
                <c:pt idx="10">
                  <c:v>yH555+pH194</c:v>
                </c:pt>
                <c:pt idx="11">
                  <c:v>yH373+pH188</c:v>
                </c:pt>
                <c:pt idx="12">
                  <c:v>yH373+pH194</c:v>
                </c:pt>
              </c:strCache>
            </c:strRef>
          </c:cat>
          <c:val>
            <c:numRef>
              <c:f>'Analyzed Data from 3 prod flow'!$BS$2:$BS$14</c:f>
              <c:numCache>
                <c:formatCode>General</c:formatCode>
                <c:ptCount val="13"/>
                <c:pt idx="1">
                  <c:v>34.762411161679005</c:v>
                </c:pt>
                <c:pt idx="2">
                  <c:v>11.953944274789846</c:v>
                </c:pt>
                <c:pt idx="3">
                  <c:v>39.024274563716283</c:v>
                </c:pt>
                <c:pt idx="4">
                  <c:v>2.556620094925929</c:v>
                </c:pt>
                <c:pt idx="5">
                  <c:v>2.7253701610088723</c:v>
                </c:pt>
                <c:pt idx="6">
                  <c:v>1.6043164944453887</c:v>
                </c:pt>
                <c:pt idx="7">
                  <c:v>3.9322532394115286</c:v>
                </c:pt>
                <c:pt idx="8">
                  <c:v>0.94252674653718749</c:v>
                </c:pt>
                <c:pt idx="9">
                  <c:v>63.947620475894617</c:v>
                </c:pt>
                <c:pt idx="10">
                  <c:v>61.852636269931629</c:v>
                </c:pt>
                <c:pt idx="11">
                  <c:v>56.485020786015546</c:v>
                </c:pt>
                <c:pt idx="12">
                  <c:v>2.5479796015337732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3-4C47-85FA-C025F7BE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1455663"/>
        <c:axId val="518055775"/>
      </c:barChart>
      <c:catAx>
        <c:axId val="31145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55775"/>
        <c:crosses val="autoZero"/>
        <c:auto val="1"/>
        <c:lblAlgn val="ctr"/>
        <c:lblOffset val="100"/>
        <c:noMultiLvlLbl val="0"/>
      </c:catAx>
      <c:valAx>
        <c:axId val="51805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45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/>
            </a:solidFill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errBars>
            <c:errBarType val="both"/>
            <c:errValType val="fixedVal"/>
            <c:noEndCap val="0"/>
            <c:val val="5"/>
            <c:spPr>
              <a:noFill/>
              <a:ln w="12700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strRef>
              <c:f>'Analyzed Data from 3 prod flow'!$BR$33:$BR$44</c:f>
              <c:strCache>
                <c:ptCount val="12"/>
                <c:pt idx="0">
                  <c:v>yH555+pH194</c:v>
                </c:pt>
                <c:pt idx="1">
                  <c:v>yH632+pH194</c:v>
                </c:pt>
                <c:pt idx="2">
                  <c:v>yH825+pH194</c:v>
                </c:pt>
                <c:pt idx="3">
                  <c:v>yH555+pH188</c:v>
                </c:pt>
                <c:pt idx="4">
                  <c:v>yH632+pH188</c:v>
                </c:pt>
                <c:pt idx="5">
                  <c:v>yH825+pH188</c:v>
                </c:pt>
                <c:pt idx="6">
                  <c:v>yH373+pH194</c:v>
                </c:pt>
                <c:pt idx="7">
                  <c:v>yH633+pH194</c:v>
                </c:pt>
                <c:pt idx="8">
                  <c:v>yH979+pH194</c:v>
                </c:pt>
                <c:pt idx="9">
                  <c:v>yH373+pH188</c:v>
                </c:pt>
                <c:pt idx="10">
                  <c:v>yH633+pH188</c:v>
                </c:pt>
                <c:pt idx="11">
                  <c:v>yH979+pH188</c:v>
                </c:pt>
              </c:strCache>
            </c:strRef>
          </c:cat>
          <c:val>
            <c:numRef>
              <c:f>'Analyzed Data from 3 prod flow'!$BS$33:$BS$44</c:f>
              <c:numCache>
                <c:formatCode>General</c:formatCode>
                <c:ptCount val="12"/>
                <c:pt idx="0">
                  <c:v>61.852636269931629</c:v>
                </c:pt>
                <c:pt idx="1">
                  <c:v>11.953944274789846</c:v>
                </c:pt>
                <c:pt idx="2">
                  <c:v>1.6043164944453887</c:v>
                </c:pt>
                <c:pt idx="3">
                  <c:v>63.947620475894617</c:v>
                </c:pt>
                <c:pt idx="4">
                  <c:v>34.762411161679005</c:v>
                </c:pt>
                <c:pt idx="5">
                  <c:v>2.7253701610088723</c:v>
                </c:pt>
                <c:pt idx="6">
                  <c:v>2.5479796015337732</c:v>
                </c:pt>
                <c:pt idx="7">
                  <c:v>2.556620094925929</c:v>
                </c:pt>
                <c:pt idx="8">
                  <c:v>0.94252674653718749</c:v>
                </c:pt>
                <c:pt idx="9">
                  <c:v>56.485020786015546</c:v>
                </c:pt>
                <c:pt idx="10">
                  <c:v>39.024274563716283</c:v>
                </c:pt>
                <c:pt idx="11">
                  <c:v>3.9322532394115286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F-5445-8232-E51BCBF88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10514303"/>
        <c:axId val="710618335"/>
      </c:barChart>
      <c:catAx>
        <c:axId val="71051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18335"/>
        <c:crosses val="autoZero"/>
        <c:auto val="1"/>
        <c:lblAlgn val="ctr"/>
        <c:lblOffset val="100"/>
        <c:noMultiLvlLbl val="0"/>
      </c:catAx>
      <c:valAx>
        <c:axId val="71061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Normalized</a:t>
                </a:r>
                <a:r>
                  <a:rPr lang="en-US" baseline="0"/>
                  <a:t> Gene Expression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1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/>
            </a:solidFill>
            <a:ln w="28575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'Analyzed Data from 3 prod flow'!$DY$18:$DY$29</c:f>
                <c:numCache>
                  <c:formatCode>General</c:formatCode>
                  <c:ptCount val="12"/>
                  <c:pt idx="0">
                    <c:v>6.1724340946152054</c:v>
                  </c:pt>
                  <c:pt idx="1">
                    <c:v>2.6015411986837265</c:v>
                  </c:pt>
                  <c:pt idx="2">
                    <c:v>0.74707300527955145</c:v>
                  </c:pt>
                  <c:pt idx="3">
                    <c:v>8.4098549468119224</c:v>
                  </c:pt>
                  <c:pt idx="4">
                    <c:v>7.2753328938414885</c:v>
                  </c:pt>
                  <c:pt idx="5">
                    <c:v>1.7412314510671525</c:v>
                  </c:pt>
                  <c:pt idx="6">
                    <c:v>0.62457121158686169</c:v>
                  </c:pt>
                  <c:pt idx="7">
                    <c:v>0.94390397181172758</c:v>
                  </c:pt>
                  <c:pt idx="8">
                    <c:v>0.37570101257523186</c:v>
                  </c:pt>
                  <c:pt idx="9">
                    <c:v>7.3764388297290573</c:v>
                  </c:pt>
                  <c:pt idx="10">
                    <c:v>6.3494372623668527</c:v>
                  </c:pt>
                  <c:pt idx="11">
                    <c:v>1.2089774797918948</c:v>
                  </c:pt>
                </c:numCache>
              </c:numRef>
            </c:plus>
            <c:minus>
              <c:numRef>
                <c:f>'Analyzed Data from 3 prod flow'!$DY$18:$DY$29</c:f>
                <c:numCache>
                  <c:formatCode>General</c:formatCode>
                  <c:ptCount val="12"/>
                  <c:pt idx="0">
                    <c:v>6.1724340946152054</c:v>
                  </c:pt>
                  <c:pt idx="1">
                    <c:v>2.6015411986837265</c:v>
                  </c:pt>
                  <c:pt idx="2">
                    <c:v>0.74707300527955145</c:v>
                  </c:pt>
                  <c:pt idx="3">
                    <c:v>8.4098549468119224</c:v>
                  </c:pt>
                  <c:pt idx="4">
                    <c:v>7.2753328938414885</c:v>
                  </c:pt>
                  <c:pt idx="5">
                    <c:v>1.7412314510671525</c:v>
                  </c:pt>
                  <c:pt idx="6">
                    <c:v>0.62457121158686169</c:v>
                  </c:pt>
                  <c:pt idx="7">
                    <c:v>0.94390397181172758</c:v>
                  </c:pt>
                  <c:pt idx="8">
                    <c:v>0.37570101257523186</c:v>
                  </c:pt>
                  <c:pt idx="9">
                    <c:v>7.3764388297290573</c:v>
                  </c:pt>
                  <c:pt idx="10">
                    <c:v>6.3494372623668527</c:v>
                  </c:pt>
                  <c:pt idx="11">
                    <c:v>1.2089774797918948</c:v>
                  </c:pt>
                </c:numCache>
              </c:numRef>
            </c:minus>
            <c:spPr>
              <a:noFill/>
              <a:ln w="19050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'Analyzed Data from 3 prod flow'!$DW$18:$DW$29</c:f>
              <c:strCache>
                <c:ptCount val="12"/>
                <c:pt idx="0">
                  <c:v>yH555+pH194</c:v>
                </c:pt>
                <c:pt idx="1">
                  <c:v>yH632+pH194</c:v>
                </c:pt>
                <c:pt idx="2">
                  <c:v>yH825+pH194</c:v>
                </c:pt>
                <c:pt idx="3">
                  <c:v>yH555+pH188</c:v>
                </c:pt>
                <c:pt idx="4">
                  <c:v>yH632+pH188</c:v>
                </c:pt>
                <c:pt idx="5">
                  <c:v>yH825+pH188</c:v>
                </c:pt>
                <c:pt idx="6">
                  <c:v>yH373+pH194</c:v>
                </c:pt>
                <c:pt idx="7">
                  <c:v>yH633+pH194</c:v>
                </c:pt>
                <c:pt idx="8">
                  <c:v>yH979+pH194</c:v>
                </c:pt>
                <c:pt idx="9">
                  <c:v>yH373+pH188</c:v>
                </c:pt>
                <c:pt idx="10">
                  <c:v>yH633+pH188</c:v>
                </c:pt>
                <c:pt idx="11">
                  <c:v>yH979+pH188</c:v>
                </c:pt>
              </c:strCache>
            </c:strRef>
          </c:cat>
          <c:val>
            <c:numRef>
              <c:f>'Analyzed Data from 3 prod flow'!$DX$18:$DX$29</c:f>
              <c:numCache>
                <c:formatCode>General</c:formatCode>
                <c:ptCount val="12"/>
                <c:pt idx="0">
                  <c:v>64.337649014542478</c:v>
                </c:pt>
                <c:pt idx="1">
                  <c:v>12.913711426510622</c:v>
                </c:pt>
                <c:pt idx="2">
                  <c:v>1.8724716419870653</c:v>
                </c:pt>
                <c:pt idx="3">
                  <c:v>68.176933914552052</c:v>
                </c:pt>
                <c:pt idx="4">
                  <c:v>38.649271741979909</c:v>
                </c:pt>
                <c:pt idx="5">
                  <c:v>3.1763799261271624</c:v>
                </c:pt>
                <c:pt idx="6">
                  <c:v>2.9012546457772066</c:v>
                </c:pt>
                <c:pt idx="7">
                  <c:v>2.9474780344442477</c:v>
                </c:pt>
                <c:pt idx="8">
                  <c:v>1.1049200345433376</c:v>
                </c:pt>
                <c:pt idx="9">
                  <c:v>61.078197718645065</c:v>
                </c:pt>
                <c:pt idx="10">
                  <c:v>42.412917285168227</c:v>
                </c:pt>
                <c:pt idx="11">
                  <c:v>4.3559962080754513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B0-E744-BC53-855C1B140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15358752"/>
        <c:axId val="2014403344"/>
      </c:barChart>
      <c:catAx>
        <c:axId val="201535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403344"/>
        <c:crosses val="autoZero"/>
        <c:auto val="1"/>
        <c:lblAlgn val="ctr"/>
        <c:lblOffset val="100"/>
        <c:noMultiLvlLbl val="0"/>
      </c:catAx>
      <c:valAx>
        <c:axId val="201440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3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196850</xdr:colOff>
      <xdr:row>24</xdr:row>
      <xdr:rowOff>82550</xdr:rowOff>
    </xdr:from>
    <xdr:to>
      <xdr:col>30</xdr:col>
      <xdr:colOff>571500</xdr:colOff>
      <xdr:row>44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8B8B87-2E6B-CD2D-7777-0CEDB2F760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404091</xdr:colOff>
      <xdr:row>10</xdr:row>
      <xdr:rowOff>146627</xdr:rowOff>
    </xdr:from>
    <xdr:to>
      <xdr:col>34</xdr:col>
      <xdr:colOff>819727</xdr:colOff>
      <xdr:row>23</xdr:row>
      <xdr:rowOff>188191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BE0345-6053-BAAA-6385-9D652B220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59</xdr:col>
      <xdr:colOff>69272</xdr:colOff>
      <xdr:row>22</xdr:row>
      <xdr:rowOff>169718</xdr:rowOff>
    </xdr:from>
    <xdr:to>
      <xdr:col>60</xdr:col>
      <xdr:colOff>3498272</xdr:colOff>
      <xdr:row>36</xdr:row>
      <xdr:rowOff>3463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BC39E6-C5A7-CB2D-879B-D274376713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311727</xdr:colOff>
      <xdr:row>26</xdr:row>
      <xdr:rowOff>181262</xdr:rowOff>
    </xdr:from>
    <xdr:to>
      <xdr:col>65</xdr:col>
      <xdr:colOff>311727</xdr:colOff>
      <xdr:row>40</xdr:row>
      <xdr:rowOff>15008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F584B6-1365-D8E9-6514-74A06A468B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81</xdr:col>
      <xdr:colOff>369453</xdr:colOff>
      <xdr:row>5</xdr:row>
      <xdr:rowOff>204354</xdr:rowOff>
    </xdr:from>
    <xdr:to>
      <xdr:col>86</xdr:col>
      <xdr:colOff>785090</xdr:colOff>
      <xdr:row>19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68A31B0-FBFC-7797-1E18-9A262B8E1A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113</xdr:col>
      <xdr:colOff>86123</xdr:colOff>
      <xdr:row>92</xdr:row>
      <xdr:rowOff>110332</xdr:rowOff>
    </xdr:from>
    <xdr:to>
      <xdr:col>114</xdr:col>
      <xdr:colOff>138604</xdr:colOff>
      <xdr:row>92</xdr:row>
      <xdr:rowOff>110332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9CC9395D-456A-080C-D84D-C605385699EA}"/>
            </a:ext>
          </a:extLst>
        </xdr:cNvPr>
        <xdr:cNvCxnSpPr>
          <a:cxnSpLocks/>
        </xdr:cNvCxnSpPr>
      </xdr:nvCxnSpPr>
      <xdr:spPr>
        <a:xfrm>
          <a:off x="131785123" y="19229605"/>
          <a:ext cx="883754" cy="0"/>
        </a:xfrm>
        <a:prstGeom prst="line">
          <a:avLst/>
        </a:prstGeom>
        <a:ln w="57150">
          <a:solidFill>
            <a:srgbClr val="FF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600365</xdr:colOff>
      <xdr:row>21</xdr:row>
      <xdr:rowOff>42718</xdr:rowOff>
    </xdr:from>
    <xdr:to>
      <xdr:col>85</xdr:col>
      <xdr:colOff>184728</xdr:colOff>
      <xdr:row>34</xdr:row>
      <xdr:rowOff>84282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83BC118D-E346-E6D7-2F50-A67BFA3BCF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79</xdr:col>
      <xdr:colOff>646546</xdr:colOff>
      <xdr:row>31</xdr:row>
      <xdr:rowOff>57726</xdr:rowOff>
    </xdr:from>
    <xdr:to>
      <xdr:col>85</xdr:col>
      <xdr:colOff>11546</xdr:colOff>
      <xdr:row>34</xdr:row>
      <xdr:rowOff>80818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BA9F1054-EF0F-5B48-B484-985DDBC3561A}"/>
            </a:ext>
          </a:extLst>
        </xdr:cNvPr>
        <xdr:cNvSpPr txBox="1"/>
      </xdr:nvSpPr>
      <xdr:spPr>
        <a:xfrm>
          <a:off x="104082273" y="6500090"/>
          <a:ext cx="4352637" cy="6465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80</xdr:col>
      <xdr:colOff>681182</xdr:colOff>
      <xdr:row>32</xdr:row>
      <xdr:rowOff>57727</xdr:rowOff>
    </xdr:from>
    <xdr:to>
      <xdr:col>82</xdr:col>
      <xdr:colOff>57728</xdr:colOff>
      <xdr:row>33</xdr:row>
      <xdr:rowOff>184728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57F49D0F-6E77-F044-802A-B0A2259FE411}"/>
            </a:ext>
          </a:extLst>
        </xdr:cNvPr>
        <xdr:cNvSpPr txBox="1"/>
      </xdr:nvSpPr>
      <xdr:spPr>
        <a:xfrm>
          <a:off x="104948182" y="6707909"/>
          <a:ext cx="1039091" cy="3348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w/ Pho</a:t>
          </a:r>
          <a:r>
            <a:rPr lang="en-US" sz="1800" b="1" baseline="0"/>
            <a:t>2</a:t>
          </a:r>
          <a:endParaRPr lang="en-US" sz="1800" b="1"/>
        </a:p>
      </xdr:txBody>
    </xdr:sp>
    <xdr:clientData/>
  </xdr:twoCellAnchor>
  <xdr:twoCellAnchor>
    <xdr:from>
      <xdr:col>80</xdr:col>
      <xdr:colOff>265545</xdr:colOff>
      <xdr:row>31</xdr:row>
      <xdr:rowOff>11543</xdr:rowOff>
    </xdr:from>
    <xdr:to>
      <xdr:col>82</xdr:col>
      <xdr:colOff>635000</xdr:colOff>
      <xdr:row>32</xdr:row>
      <xdr:rowOff>80816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E96A1FEB-DC92-F246-9010-AFD3E4B0A76A}"/>
            </a:ext>
          </a:extLst>
        </xdr:cNvPr>
        <xdr:cNvSpPr txBox="1"/>
      </xdr:nvSpPr>
      <xdr:spPr>
        <a:xfrm>
          <a:off x="104532545" y="6453907"/>
          <a:ext cx="2032000" cy="277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WT </a:t>
          </a:r>
          <a:r>
            <a:rPr lang="en-US" sz="1000" baseline="0"/>
            <a:t>     M1         M2       WT        M1        M2</a:t>
          </a:r>
          <a:endParaRPr lang="en-US" sz="1000"/>
        </a:p>
      </xdr:txBody>
    </xdr:sp>
    <xdr:clientData/>
  </xdr:twoCellAnchor>
  <xdr:twoCellAnchor>
    <xdr:from>
      <xdr:col>82</xdr:col>
      <xdr:colOff>591127</xdr:colOff>
      <xdr:row>31</xdr:row>
      <xdr:rowOff>13855</xdr:rowOff>
    </xdr:from>
    <xdr:to>
      <xdr:col>85</xdr:col>
      <xdr:colOff>129308</xdr:colOff>
      <xdr:row>32</xdr:row>
      <xdr:rowOff>83128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0E1B544-1BAE-B946-8F26-63AA2807BA1E}"/>
            </a:ext>
          </a:extLst>
        </xdr:cNvPr>
        <xdr:cNvSpPr txBox="1"/>
      </xdr:nvSpPr>
      <xdr:spPr>
        <a:xfrm>
          <a:off x="106520672" y="6456219"/>
          <a:ext cx="2032000" cy="277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WT </a:t>
          </a:r>
          <a:r>
            <a:rPr lang="en-US" sz="1000" baseline="0"/>
            <a:t>     M1         M2       WT        M1        M2</a:t>
          </a:r>
          <a:endParaRPr lang="en-US" sz="1000"/>
        </a:p>
      </xdr:txBody>
    </xdr:sp>
    <xdr:clientData/>
  </xdr:twoCellAnchor>
  <xdr:twoCellAnchor>
    <xdr:from>
      <xdr:col>83</xdr:col>
      <xdr:colOff>348673</xdr:colOff>
      <xdr:row>32</xdr:row>
      <xdr:rowOff>48491</xdr:rowOff>
    </xdr:from>
    <xdr:to>
      <xdr:col>84</xdr:col>
      <xdr:colOff>750455</xdr:colOff>
      <xdr:row>33</xdr:row>
      <xdr:rowOff>175492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54B4B4F4-699F-6B47-A99B-081B507F21C1}"/>
            </a:ext>
          </a:extLst>
        </xdr:cNvPr>
        <xdr:cNvSpPr txBox="1"/>
      </xdr:nvSpPr>
      <xdr:spPr>
        <a:xfrm>
          <a:off x="107109491" y="6698673"/>
          <a:ext cx="1233055" cy="3348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w/o Pho</a:t>
          </a:r>
          <a:r>
            <a:rPr lang="en-US" sz="1800" b="1" baseline="0"/>
            <a:t>2</a:t>
          </a:r>
          <a:endParaRPr lang="en-US" sz="1800" b="1"/>
        </a:p>
      </xdr:txBody>
    </xdr:sp>
    <xdr:clientData/>
  </xdr:twoCellAnchor>
  <xdr:twoCellAnchor>
    <xdr:from>
      <xdr:col>80</xdr:col>
      <xdr:colOff>256309</xdr:colOff>
      <xdr:row>32</xdr:row>
      <xdr:rowOff>46182</xdr:rowOff>
    </xdr:from>
    <xdr:to>
      <xdr:col>82</xdr:col>
      <xdr:colOff>461819</xdr:colOff>
      <xdr:row>32</xdr:row>
      <xdr:rowOff>48491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96F9147A-767A-F94A-B228-C37BB678973B}"/>
            </a:ext>
          </a:extLst>
        </xdr:cNvPr>
        <xdr:cNvCxnSpPr/>
      </xdr:nvCxnSpPr>
      <xdr:spPr>
        <a:xfrm flipV="1">
          <a:off x="104523309" y="6696364"/>
          <a:ext cx="1868055" cy="230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662709</xdr:colOff>
      <xdr:row>32</xdr:row>
      <xdr:rowOff>36945</xdr:rowOff>
    </xdr:from>
    <xdr:to>
      <xdr:col>85</xdr:col>
      <xdr:colOff>36945</xdr:colOff>
      <xdr:row>32</xdr:row>
      <xdr:rowOff>39254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CE38F3C5-25DD-9544-AF23-9E437BC31427}"/>
            </a:ext>
          </a:extLst>
        </xdr:cNvPr>
        <xdr:cNvCxnSpPr/>
      </xdr:nvCxnSpPr>
      <xdr:spPr>
        <a:xfrm flipV="1">
          <a:off x="106592254" y="6687127"/>
          <a:ext cx="1868055" cy="230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369455</xdr:colOff>
      <xdr:row>22</xdr:row>
      <xdr:rowOff>115455</xdr:rowOff>
    </xdr:from>
    <xdr:to>
      <xdr:col>81</xdr:col>
      <xdr:colOff>415636</xdr:colOff>
      <xdr:row>22</xdr:row>
      <xdr:rowOff>115455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1C7431E1-7343-A737-760F-7A758BB466C5}"/>
            </a:ext>
          </a:extLst>
        </xdr:cNvPr>
        <xdr:cNvCxnSpPr/>
      </xdr:nvCxnSpPr>
      <xdr:spPr>
        <a:xfrm>
          <a:off x="104636455" y="4687455"/>
          <a:ext cx="877454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381000</xdr:colOff>
      <xdr:row>21</xdr:row>
      <xdr:rowOff>34636</xdr:rowOff>
    </xdr:from>
    <xdr:to>
      <xdr:col>81</xdr:col>
      <xdr:colOff>427182</xdr:colOff>
      <xdr:row>22</xdr:row>
      <xdr:rowOff>80818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1C432A06-B18F-DE0D-85B5-3DBCE0BEA98A}"/>
            </a:ext>
          </a:extLst>
        </xdr:cNvPr>
        <xdr:cNvSpPr txBox="1"/>
      </xdr:nvSpPr>
      <xdr:spPr>
        <a:xfrm>
          <a:off x="104648000" y="4398818"/>
          <a:ext cx="87745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ScPho4</a:t>
          </a:r>
        </a:p>
      </xdr:txBody>
    </xdr:sp>
    <xdr:clientData/>
  </xdr:twoCellAnchor>
  <xdr:twoCellAnchor>
    <xdr:from>
      <xdr:col>83</xdr:col>
      <xdr:colOff>810492</xdr:colOff>
      <xdr:row>23</xdr:row>
      <xdr:rowOff>117764</xdr:rowOff>
    </xdr:from>
    <xdr:to>
      <xdr:col>85</xdr:col>
      <xdr:colOff>25400</xdr:colOff>
      <xdr:row>23</xdr:row>
      <xdr:rowOff>117764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B21D865-E652-3742-818F-589E3746102F}"/>
            </a:ext>
          </a:extLst>
        </xdr:cNvPr>
        <xdr:cNvCxnSpPr/>
      </xdr:nvCxnSpPr>
      <xdr:spPr>
        <a:xfrm>
          <a:off x="107571310" y="4897582"/>
          <a:ext cx="877454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581891</xdr:colOff>
      <xdr:row>22</xdr:row>
      <xdr:rowOff>96983</xdr:rowOff>
    </xdr:from>
    <xdr:to>
      <xdr:col>82</xdr:col>
      <xdr:colOff>628073</xdr:colOff>
      <xdr:row>22</xdr:row>
      <xdr:rowOff>96983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5983EE0B-A270-F346-80EB-B877C62BCE3A}"/>
            </a:ext>
          </a:extLst>
        </xdr:cNvPr>
        <xdr:cNvCxnSpPr/>
      </xdr:nvCxnSpPr>
      <xdr:spPr>
        <a:xfrm>
          <a:off x="105680164" y="4668983"/>
          <a:ext cx="877454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787401</xdr:colOff>
      <xdr:row>28</xdr:row>
      <xdr:rowOff>129310</xdr:rowOff>
    </xdr:from>
    <xdr:to>
      <xdr:col>84</xdr:col>
      <xdr:colOff>2310</xdr:colOff>
      <xdr:row>29</xdr:row>
      <xdr:rowOff>175492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321370B4-D603-8643-9E40-7831F8FEBDEE}"/>
            </a:ext>
          </a:extLst>
        </xdr:cNvPr>
        <xdr:cNvSpPr txBox="1"/>
      </xdr:nvSpPr>
      <xdr:spPr>
        <a:xfrm>
          <a:off x="106716946" y="5948219"/>
          <a:ext cx="87745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ScPho4</a:t>
          </a:r>
        </a:p>
      </xdr:txBody>
    </xdr:sp>
    <xdr:clientData/>
  </xdr:twoCellAnchor>
  <xdr:twoCellAnchor>
    <xdr:from>
      <xdr:col>82</xdr:col>
      <xdr:colOff>699655</xdr:colOff>
      <xdr:row>29</xdr:row>
      <xdr:rowOff>191656</xdr:rowOff>
    </xdr:from>
    <xdr:to>
      <xdr:col>83</xdr:col>
      <xdr:colOff>745836</xdr:colOff>
      <xdr:row>29</xdr:row>
      <xdr:rowOff>191656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6ED591D5-A5F7-D641-8C89-B93C6F4C12B8}"/>
            </a:ext>
          </a:extLst>
        </xdr:cNvPr>
        <xdr:cNvCxnSpPr/>
      </xdr:nvCxnSpPr>
      <xdr:spPr>
        <a:xfrm>
          <a:off x="106629200" y="6218383"/>
          <a:ext cx="877454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660400</xdr:colOff>
      <xdr:row>21</xdr:row>
      <xdr:rowOff>36945</xdr:rowOff>
    </xdr:from>
    <xdr:to>
      <xdr:col>82</xdr:col>
      <xdr:colOff>706583</xdr:colOff>
      <xdr:row>22</xdr:row>
      <xdr:rowOff>83127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3B9AC387-1695-C748-BC08-13E15C3F8A45}"/>
            </a:ext>
          </a:extLst>
        </xdr:cNvPr>
        <xdr:cNvSpPr txBox="1"/>
      </xdr:nvSpPr>
      <xdr:spPr>
        <a:xfrm>
          <a:off x="105758673" y="4401127"/>
          <a:ext cx="87745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CgPho4</a:t>
          </a:r>
        </a:p>
      </xdr:txBody>
    </xdr:sp>
    <xdr:clientData/>
  </xdr:twoCellAnchor>
  <xdr:twoCellAnchor>
    <xdr:from>
      <xdr:col>84</xdr:col>
      <xdr:colOff>50801</xdr:colOff>
      <xdr:row>22</xdr:row>
      <xdr:rowOff>27709</xdr:rowOff>
    </xdr:from>
    <xdr:to>
      <xdr:col>85</xdr:col>
      <xdr:colOff>96983</xdr:colOff>
      <xdr:row>23</xdr:row>
      <xdr:rowOff>73891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BF1DB1D9-2FA6-1441-B2CD-4E9896D328D6}"/>
            </a:ext>
          </a:extLst>
        </xdr:cNvPr>
        <xdr:cNvSpPr txBox="1"/>
      </xdr:nvSpPr>
      <xdr:spPr>
        <a:xfrm>
          <a:off x="107642892" y="4599709"/>
          <a:ext cx="87745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CgPho4</a:t>
          </a:r>
        </a:p>
      </xdr:txBody>
    </xdr:sp>
    <xdr:clientData/>
  </xdr:twoCellAnchor>
  <xdr:twoCellAnchor>
    <xdr:from>
      <xdr:col>129</xdr:col>
      <xdr:colOff>785090</xdr:colOff>
      <xdr:row>17</xdr:row>
      <xdr:rowOff>181264</xdr:rowOff>
    </xdr:from>
    <xdr:to>
      <xdr:col>135</xdr:col>
      <xdr:colOff>369454</xdr:colOff>
      <xdr:row>31</xdr:row>
      <xdr:rowOff>15009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68681B2-C5AC-508E-3EF2-E2A826BF6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130</xdr:col>
      <xdr:colOff>357909</xdr:colOff>
      <xdr:row>27</xdr:row>
      <xdr:rowOff>127000</xdr:rowOff>
    </xdr:from>
    <xdr:to>
      <xdr:col>135</xdr:col>
      <xdr:colOff>265545</xdr:colOff>
      <xdr:row>31</xdr:row>
      <xdr:rowOff>20838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0FAC8A2-9494-D542-9E70-5D9E6D0DCE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8271"/>
        <a:stretch/>
      </xdr:blipFill>
      <xdr:spPr>
        <a:xfrm>
          <a:off x="165746545" y="5738091"/>
          <a:ext cx="4064000" cy="725111"/>
        </a:xfrm>
        <a:prstGeom prst="rect">
          <a:avLst/>
        </a:prstGeom>
      </xdr:spPr>
    </xdr:pic>
    <xdr:clientData/>
  </xdr:twoCellAnchor>
  <xdr:twoCellAnchor>
    <xdr:from>
      <xdr:col>129</xdr:col>
      <xdr:colOff>819727</xdr:colOff>
      <xdr:row>28</xdr:row>
      <xdr:rowOff>34636</xdr:rowOff>
    </xdr:from>
    <xdr:to>
      <xdr:col>130</xdr:col>
      <xdr:colOff>369455</xdr:colOff>
      <xdr:row>30</xdr:row>
      <xdr:rowOff>196273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E74E9ED-C100-C887-F2DF-92DABBF21841}"/>
            </a:ext>
          </a:extLst>
        </xdr:cNvPr>
        <xdr:cNvSpPr txBox="1"/>
      </xdr:nvSpPr>
      <xdr:spPr>
        <a:xfrm>
          <a:off x="165377091" y="5853545"/>
          <a:ext cx="381000" cy="57727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130</xdr:col>
      <xdr:colOff>434111</xdr:colOff>
      <xdr:row>21</xdr:row>
      <xdr:rowOff>6928</xdr:rowOff>
    </xdr:from>
    <xdr:to>
      <xdr:col>131</xdr:col>
      <xdr:colOff>480292</xdr:colOff>
      <xdr:row>21</xdr:row>
      <xdr:rowOff>6928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85512BCB-7FB2-184D-A8D7-2347EFEE5A86}"/>
            </a:ext>
          </a:extLst>
        </xdr:cNvPr>
        <xdr:cNvCxnSpPr/>
      </xdr:nvCxnSpPr>
      <xdr:spPr>
        <a:xfrm>
          <a:off x="165822747" y="4371110"/>
          <a:ext cx="877454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621147</xdr:colOff>
      <xdr:row>21</xdr:row>
      <xdr:rowOff>9237</xdr:rowOff>
    </xdr:from>
    <xdr:to>
      <xdr:col>132</xdr:col>
      <xdr:colOff>667328</xdr:colOff>
      <xdr:row>21</xdr:row>
      <xdr:rowOff>9237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69DA7914-0D70-654A-8EEF-19819DFDA364}"/>
            </a:ext>
          </a:extLst>
        </xdr:cNvPr>
        <xdr:cNvCxnSpPr/>
      </xdr:nvCxnSpPr>
      <xdr:spPr>
        <a:xfrm>
          <a:off x="166841056" y="4373419"/>
          <a:ext cx="877454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819729</xdr:colOff>
      <xdr:row>26</xdr:row>
      <xdr:rowOff>150092</xdr:rowOff>
    </xdr:from>
    <xdr:to>
      <xdr:col>134</xdr:col>
      <xdr:colOff>34638</xdr:colOff>
      <xdr:row>26</xdr:row>
      <xdr:rowOff>150092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D2F7366E-8657-4946-B1C7-D2AAFB75A690}"/>
            </a:ext>
          </a:extLst>
        </xdr:cNvPr>
        <xdr:cNvCxnSpPr/>
      </xdr:nvCxnSpPr>
      <xdr:spPr>
        <a:xfrm>
          <a:off x="167870911" y="5553365"/>
          <a:ext cx="877454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106220</xdr:colOff>
      <xdr:row>21</xdr:row>
      <xdr:rowOff>117765</xdr:rowOff>
    </xdr:from>
    <xdr:to>
      <xdr:col>135</xdr:col>
      <xdr:colOff>152401</xdr:colOff>
      <xdr:row>21</xdr:row>
      <xdr:rowOff>117765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141C97B4-BCCD-3C44-92FD-5BF2BFE62C1A}"/>
            </a:ext>
          </a:extLst>
        </xdr:cNvPr>
        <xdr:cNvCxnSpPr/>
      </xdr:nvCxnSpPr>
      <xdr:spPr>
        <a:xfrm>
          <a:off x="168819947" y="4481947"/>
          <a:ext cx="877454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441036</xdr:colOff>
      <xdr:row>19</xdr:row>
      <xdr:rowOff>140854</xdr:rowOff>
    </xdr:from>
    <xdr:to>
      <xdr:col>131</xdr:col>
      <xdr:colOff>487218</xdr:colOff>
      <xdr:row>20</xdr:row>
      <xdr:rowOff>187035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726B49D-606C-5548-A941-AADADF8AA751}"/>
            </a:ext>
          </a:extLst>
        </xdr:cNvPr>
        <xdr:cNvSpPr txBox="1"/>
      </xdr:nvSpPr>
      <xdr:spPr>
        <a:xfrm>
          <a:off x="165829672" y="4089399"/>
          <a:ext cx="87745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ScPho4</a:t>
          </a:r>
        </a:p>
      </xdr:txBody>
    </xdr:sp>
    <xdr:clientData/>
  </xdr:twoCellAnchor>
  <xdr:twoCellAnchor>
    <xdr:from>
      <xdr:col>133</xdr:col>
      <xdr:colOff>39253</xdr:colOff>
      <xdr:row>25</xdr:row>
      <xdr:rowOff>96980</xdr:rowOff>
    </xdr:from>
    <xdr:to>
      <xdr:col>134</xdr:col>
      <xdr:colOff>85436</xdr:colOff>
      <xdr:row>26</xdr:row>
      <xdr:rowOff>143162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381D4E5B-7AF4-254F-990B-7855C25F2FB1}"/>
            </a:ext>
          </a:extLst>
        </xdr:cNvPr>
        <xdr:cNvSpPr txBox="1"/>
      </xdr:nvSpPr>
      <xdr:spPr>
        <a:xfrm>
          <a:off x="167921708" y="5292435"/>
          <a:ext cx="87745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ScPho4</a:t>
          </a:r>
        </a:p>
      </xdr:txBody>
    </xdr:sp>
    <xdr:clientData/>
  </xdr:twoCellAnchor>
  <xdr:twoCellAnchor>
    <xdr:from>
      <xdr:col>131</xdr:col>
      <xdr:colOff>651163</xdr:colOff>
      <xdr:row>19</xdr:row>
      <xdr:rowOff>143163</xdr:rowOff>
    </xdr:from>
    <xdr:to>
      <xdr:col>132</xdr:col>
      <xdr:colOff>697345</xdr:colOff>
      <xdr:row>20</xdr:row>
      <xdr:rowOff>189344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BDF29314-A9B8-534D-B720-C63367FA9D62}"/>
            </a:ext>
          </a:extLst>
        </xdr:cNvPr>
        <xdr:cNvSpPr txBox="1"/>
      </xdr:nvSpPr>
      <xdr:spPr>
        <a:xfrm>
          <a:off x="166871072" y="4091708"/>
          <a:ext cx="87745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CgPho4</a:t>
          </a:r>
        </a:p>
      </xdr:txBody>
    </xdr:sp>
    <xdr:clientData/>
  </xdr:twoCellAnchor>
  <xdr:twoCellAnchor>
    <xdr:from>
      <xdr:col>134</xdr:col>
      <xdr:colOff>122381</xdr:colOff>
      <xdr:row>20</xdr:row>
      <xdr:rowOff>30017</xdr:rowOff>
    </xdr:from>
    <xdr:to>
      <xdr:col>135</xdr:col>
      <xdr:colOff>168563</xdr:colOff>
      <xdr:row>21</xdr:row>
      <xdr:rowOff>76199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E0E90742-C460-544D-A29C-8F124202D463}"/>
            </a:ext>
          </a:extLst>
        </xdr:cNvPr>
        <xdr:cNvSpPr txBox="1"/>
      </xdr:nvSpPr>
      <xdr:spPr>
        <a:xfrm>
          <a:off x="168836108" y="4186381"/>
          <a:ext cx="87745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CgPho4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97940-8AA2-F841-9402-0BCA59C148CF}">
  <dimension ref="A1:AD433"/>
  <sheetViews>
    <sheetView workbookViewId="0"/>
  </sheetViews>
  <sheetFormatPr baseColWidth="10" defaultRowHeight="16" x14ac:dyDescent="0.2"/>
  <cols>
    <col min="1" max="1" width="20.5" customWidth="1"/>
    <col min="5" max="5" width="16.5" customWidth="1"/>
  </cols>
  <sheetData>
    <row r="1" spans="1:3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 x14ac:dyDescent="0.2">
      <c r="A2" t="s">
        <v>30</v>
      </c>
      <c r="B2" t="s">
        <v>1</v>
      </c>
      <c r="C2" t="s">
        <v>2</v>
      </c>
      <c r="D2" t="s">
        <v>31</v>
      </c>
      <c r="E2" t="s">
        <v>115</v>
      </c>
      <c r="F2" t="s">
        <v>1</v>
      </c>
      <c r="G2" t="s">
        <v>32</v>
      </c>
      <c r="H2" t="s">
        <v>33</v>
      </c>
      <c r="I2" t="s">
        <v>34</v>
      </c>
      <c r="J2" t="s">
        <v>33</v>
      </c>
      <c r="K2" t="s">
        <v>33</v>
      </c>
      <c r="L2">
        <v>9872</v>
      </c>
      <c r="M2">
        <v>3</v>
      </c>
      <c r="N2">
        <v>3290.6669999999999</v>
      </c>
      <c r="O2">
        <v>100</v>
      </c>
      <c r="P2">
        <v>100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33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33</v>
      </c>
      <c r="AD2" t="s">
        <v>33</v>
      </c>
    </row>
    <row r="3" spans="1:30" x14ac:dyDescent="0.2">
      <c r="A3" t="s">
        <v>30</v>
      </c>
      <c r="B3" t="s">
        <v>1</v>
      </c>
      <c r="C3" t="s">
        <v>2</v>
      </c>
      <c r="D3" t="s">
        <v>31</v>
      </c>
      <c r="E3" t="s">
        <v>115</v>
      </c>
      <c r="F3" t="s">
        <v>1</v>
      </c>
      <c r="G3" t="s">
        <v>32</v>
      </c>
      <c r="I3" t="s">
        <v>35</v>
      </c>
      <c r="J3" t="s">
        <v>36</v>
      </c>
      <c r="K3" t="s">
        <v>37</v>
      </c>
      <c r="L3">
        <v>9471</v>
      </c>
      <c r="M3">
        <v>3</v>
      </c>
      <c r="N3">
        <v>3157</v>
      </c>
      <c r="O3">
        <v>95.938000000000002</v>
      </c>
      <c r="P3">
        <v>95.938000000000002</v>
      </c>
      <c r="Q3">
        <v>298260</v>
      </c>
      <c r="R3">
        <v>108947</v>
      </c>
      <c r="S3">
        <v>292755</v>
      </c>
      <c r="T3">
        <v>106251</v>
      </c>
      <c r="U3">
        <v>228575</v>
      </c>
      <c r="V3">
        <v>105413</v>
      </c>
      <c r="W3">
        <v>79413.33</v>
      </c>
      <c r="X3">
        <v>34229.29</v>
      </c>
      <c r="Y3">
        <v>26.63</v>
      </c>
      <c r="Z3">
        <v>31.42</v>
      </c>
      <c r="AA3">
        <v>93547.61</v>
      </c>
      <c r="AB3">
        <v>36188.78</v>
      </c>
      <c r="AC3">
        <v>31.95</v>
      </c>
      <c r="AD3">
        <v>34.06</v>
      </c>
    </row>
    <row r="4" spans="1:30" x14ac:dyDescent="0.2">
      <c r="A4" t="s">
        <v>30</v>
      </c>
      <c r="B4" t="s">
        <v>1</v>
      </c>
      <c r="C4" t="s">
        <v>2</v>
      </c>
      <c r="D4" t="s">
        <v>31</v>
      </c>
      <c r="E4" t="s">
        <v>115</v>
      </c>
      <c r="F4" t="s">
        <v>1</v>
      </c>
      <c r="G4" t="s">
        <v>32</v>
      </c>
      <c r="I4" t="s">
        <v>38</v>
      </c>
      <c r="J4" t="s">
        <v>36</v>
      </c>
      <c r="K4" t="s">
        <v>39</v>
      </c>
      <c r="L4">
        <v>3840</v>
      </c>
      <c r="M4">
        <v>3</v>
      </c>
      <c r="N4">
        <v>1280</v>
      </c>
      <c r="O4">
        <v>38.898000000000003</v>
      </c>
      <c r="P4">
        <v>40.545000000000002</v>
      </c>
      <c r="Q4">
        <v>291461</v>
      </c>
      <c r="R4">
        <v>90</v>
      </c>
      <c r="S4">
        <v>280234</v>
      </c>
      <c r="T4">
        <v>89</v>
      </c>
      <c r="U4">
        <v>228538</v>
      </c>
      <c r="V4">
        <v>87</v>
      </c>
      <c r="W4">
        <v>78315.289999999994</v>
      </c>
      <c r="X4">
        <v>7.08</v>
      </c>
      <c r="Y4">
        <v>26.87</v>
      </c>
      <c r="Z4">
        <v>7.9</v>
      </c>
      <c r="AA4">
        <v>88044.2</v>
      </c>
      <c r="AB4">
        <v>7.41</v>
      </c>
      <c r="AC4">
        <v>31.42</v>
      </c>
      <c r="AD4">
        <v>8.33</v>
      </c>
    </row>
    <row r="5" spans="1:30" x14ac:dyDescent="0.2">
      <c r="A5" t="s">
        <v>30</v>
      </c>
      <c r="B5" t="s">
        <v>1</v>
      </c>
      <c r="C5" t="s">
        <v>2</v>
      </c>
      <c r="D5" t="s">
        <v>31</v>
      </c>
      <c r="E5" t="s">
        <v>115</v>
      </c>
      <c r="F5" t="s">
        <v>1</v>
      </c>
      <c r="G5" t="s">
        <v>32</v>
      </c>
      <c r="I5" t="s">
        <v>35</v>
      </c>
      <c r="J5" t="s">
        <v>36</v>
      </c>
      <c r="K5" t="s">
        <v>39</v>
      </c>
      <c r="L5">
        <v>9471</v>
      </c>
      <c r="M5">
        <v>3</v>
      </c>
      <c r="N5">
        <v>3157</v>
      </c>
      <c r="O5">
        <v>95.938000000000002</v>
      </c>
      <c r="P5">
        <v>95.938000000000002</v>
      </c>
      <c r="Q5">
        <v>298260</v>
      </c>
      <c r="R5">
        <v>100</v>
      </c>
      <c r="S5">
        <v>292755</v>
      </c>
      <c r="T5">
        <v>99</v>
      </c>
      <c r="U5">
        <v>228575</v>
      </c>
      <c r="V5">
        <v>99</v>
      </c>
      <c r="W5">
        <v>79413.33</v>
      </c>
      <c r="X5">
        <v>11.77</v>
      </c>
      <c r="Y5">
        <v>26.63</v>
      </c>
      <c r="Z5">
        <v>11.83</v>
      </c>
      <c r="AA5">
        <v>93547.61</v>
      </c>
      <c r="AB5">
        <v>11.86</v>
      </c>
      <c r="AC5">
        <v>31.95</v>
      </c>
      <c r="AD5">
        <v>11.98</v>
      </c>
    </row>
    <row r="6" spans="1:30" x14ac:dyDescent="0.2">
      <c r="A6" t="s">
        <v>30</v>
      </c>
      <c r="B6" t="s">
        <v>1</v>
      </c>
      <c r="C6" t="s">
        <v>2</v>
      </c>
      <c r="D6" t="s">
        <v>31</v>
      </c>
      <c r="E6" t="s">
        <v>115</v>
      </c>
      <c r="F6" t="s">
        <v>1</v>
      </c>
      <c r="G6" t="s">
        <v>32</v>
      </c>
      <c r="I6" t="s">
        <v>38</v>
      </c>
      <c r="J6" t="s">
        <v>40</v>
      </c>
      <c r="L6">
        <v>3840</v>
      </c>
      <c r="M6">
        <v>3</v>
      </c>
      <c r="N6">
        <v>1280</v>
      </c>
      <c r="O6">
        <v>38.898000000000003</v>
      </c>
      <c r="P6">
        <v>38.898000000000003</v>
      </c>
      <c r="Q6">
        <v>336</v>
      </c>
      <c r="R6" t="s">
        <v>33</v>
      </c>
      <c r="S6">
        <v>310</v>
      </c>
      <c r="T6" t="s">
        <v>33</v>
      </c>
      <c r="U6">
        <v>309</v>
      </c>
      <c r="V6" t="s">
        <v>33</v>
      </c>
      <c r="W6">
        <v>189.14</v>
      </c>
      <c r="X6" t="s">
        <v>33</v>
      </c>
      <c r="Y6">
        <v>56.33</v>
      </c>
      <c r="Z6" t="s">
        <v>33</v>
      </c>
      <c r="AA6">
        <v>115.64</v>
      </c>
      <c r="AB6" t="s">
        <v>33</v>
      </c>
      <c r="AC6">
        <v>37.299999999999997</v>
      </c>
      <c r="AD6" t="s">
        <v>33</v>
      </c>
    </row>
    <row r="7" spans="1:30" x14ac:dyDescent="0.2">
      <c r="A7" t="s">
        <v>30</v>
      </c>
      <c r="B7" t="s">
        <v>1</v>
      </c>
      <c r="C7" t="s">
        <v>2</v>
      </c>
      <c r="D7" t="s">
        <v>31</v>
      </c>
      <c r="E7" t="s">
        <v>115</v>
      </c>
      <c r="F7" t="s">
        <v>1</v>
      </c>
      <c r="G7" t="s">
        <v>32</v>
      </c>
      <c r="I7" t="s">
        <v>38</v>
      </c>
      <c r="J7" t="s">
        <v>41</v>
      </c>
      <c r="L7">
        <v>3840</v>
      </c>
      <c r="M7">
        <v>3</v>
      </c>
      <c r="N7">
        <v>1280</v>
      </c>
      <c r="O7">
        <v>38.898000000000003</v>
      </c>
      <c r="P7">
        <v>38.898000000000003</v>
      </c>
      <c r="Q7">
        <v>589</v>
      </c>
      <c r="R7" t="s">
        <v>33</v>
      </c>
      <c r="S7">
        <v>71</v>
      </c>
      <c r="T7" t="s">
        <v>33</v>
      </c>
      <c r="U7">
        <v>0</v>
      </c>
      <c r="V7" t="s">
        <v>33</v>
      </c>
      <c r="W7">
        <v>1248.1099999999999</v>
      </c>
      <c r="X7" t="s">
        <v>33</v>
      </c>
      <c r="Y7">
        <v>211.75</v>
      </c>
      <c r="Z7" t="s">
        <v>33</v>
      </c>
      <c r="AA7">
        <v>105.26</v>
      </c>
      <c r="AB7" t="s">
        <v>33</v>
      </c>
      <c r="AC7">
        <v>148.26</v>
      </c>
      <c r="AD7" t="s">
        <v>33</v>
      </c>
    </row>
    <row r="8" spans="1:30" x14ac:dyDescent="0.2">
      <c r="A8" t="s">
        <v>30</v>
      </c>
      <c r="B8" t="s">
        <v>1</v>
      </c>
      <c r="C8" t="s">
        <v>2</v>
      </c>
      <c r="D8" t="s">
        <v>42</v>
      </c>
      <c r="E8" t="s">
        <v>120</v>
      </c>
      <c r="F8" t="s">
        <v>1</v>
      </c>
      <c r="G8" t="s">
        <v>32</v>
      </c>
      <c r="H8" t="s">
        <v>33</v>
      </c>
      <c r="I8" t="s">
        <v>34</v>
      </c>
      <c r="J8" t="s">
        <v>33</v>
      </c>
      <c r="K8" t="s">
        <v>33</v>
      </c>
      <c r="L8">
        <v>10000</v>
      </c>
      <c r="M8">
        <v>8</v>
      </c>
      <c r="N8">
        <v>1250</v>
      </c>
      <c r="O8">
        <v>100</v>
      </c>
      <c r="P8">
        <v>100</v>
      </c>
      <c r="Q8" t="s">
        <v>33</v>
      </c>
      <c r="R8" t="s">
        <v>33</v>
      </c>
      <c r="S8" t="s">
        <v>33</v>
      </c>
      <c r="T8" t="s">
        <v>33</v>
      </c>
      <c r="U8" t="s">
        <v>33</v>
      </c>
      <c r="V8" t="s">
        <v>33</v>
      </c>
      <c r="W8" t="s">
        <v>33</v>
      </c>
      <c r="X8" t="s">
        <v>33</v>
      </c>
      <c r="Y8" t="s">
        <v>33</v>
      </c>
      <c r="Z8" t="s">
        <v>33</v>
      </c>
      <c r="AA8" t="s">
        <v>33</v>
      </c>
      <c r="AB8" t="s">
        <v>33</v>
      </c>
      <c r="AC8" t="s">
        <v>33</v>
      </c>
      <c r="AD8" t="s">
        <v>33</v>
      </c>
    </row>
    <row r="9" spans="1:30" x14ac:dyDescent="0.2">
      <c r="A9" t="s">
        <v>30</v>
      </c>
      <c r="B9" t="s">
        <v>1</v>
      </c>
      <c r="C9" t="s">
        <v>2</v>
      </c>
      <c r="D9" t="s">
        <v>42</v>
      </c>
      <c r="E9" t="s">
        <v>120</v>
      </c>
      <c r="F9" t="s">
        <v>1</v>
      </c>
      <c r="G9" t="s">
        <v>32</v>
      </c>
      <c r="I9" t="s">
        <v>35</v>
      </c>
      <c r="J9" t="s">
        <v>36</v>
      </c>
      <c r="K9" t="s">
        <v>37</v>
      </c>
      <c r="L9">
        <v>10000</v>
      </c>
      <c r="M9">
        <v>8</v>
      </c>
      <c r="N9">
        <v>1250</v>
      </c>
      <c r="O9">
        <v>100</v>
      </c>
      <c r="P9">
        <v>100</v>
      </c>
      <c r="Q9">
        <v>332967</v>
      </c>
      <c r="R9">
        <v>91551</v>
      </c>
      <c r="S9">
        <v>336935</v>
      </c>
      <c r="T9">
        <v>87645</v>
      </c>
      <c r="U9">
        <v>279333</v>
      </c>
      <c r="V9">
        <v>72732</v>
      </c>
      <c r="W9">
        <v>87820.22</v>
      </c>
      <c r="X9">
        <v>31129.3</v>
      </c>
      <c r="Y9">
        <v>26.38</v>
      </c>
      <c r="Z9">
        <v>34</v>
      </c>
      <c r="AA9">
        <v>104572.97</v>
      </c>
      <c r="AB9">
        <v>29285.06</v>
      </c>
      <c r="AC9">
        <v>31.04</v>
      </c>
      <c r="AD9">
        <v>33.409999999999997</v>
      </c>
    </row>
    <row r="10" spans="1:30" x14ac:dyDescent="0.2">
      <c r="A10" t="s">
        <v>30</v>
      </c>
      <c r="B10" t="s">
        <v>1</v>
      </c>
      <c r="C10" t="s">
        <v>2</v>
      </c>
      <c r="D10" t="s">
        <v>42</v>
      </c>
      <c r="E10" t="s">
        <v>120</v>
      </c>
      <c r="F10" t="s">
        <v>1</v>
      </c>
      <c r="G10" t="s">
        <v>32</v>
      </c>
      <c r="I10" t="s">
        <v>38</v>
      </c>
      <c r="J10" t="s">
        <v>36</v>
      </c>
      <c r="K10" t="s">
        <v>39</v>
      </c>
      <c r="L10">
        <v>5911</v>
      </c>
      <c r="M10">
        <v>8</v>
      </c>
      <c r="N10">
        <v>738.875</v>
      </c>
      <c r="O10">
        <v>59.11</v>
      </c>
      <c r="P10">
        <v>59.11</v>
      </c>
      <c r="Q10">
        <v>333468</v>
      </c>
      <c r="R10">
        <v>90</v>
      </c>
      <c r="S10">
        <v>336950</v>
      </c>
      <c r="T10">
        <v>89</v>
      </c>
      <c r="U10">
        <v>363397</v>
      </c>
      <c r="V10">
        <v>87</v>
      </c>
      <c r="W10">
        <v>86976.14</v>
      </c>
      <c r="X10">
        <v>7.33</v>
      </c>
      <c r="Y10">
        <v>26.08</v>
      </c>
      <c r="Z10">
        <v>8.17</v>
      </c>
      <c r="AA10">
        <v>103626.33</v>
      </c>
      <c r="AB10">
        <v>7.41</v>
      </c>
      <c r="AC10">
        <v>30.75</v>
      </c>
      <c r="AD10">
        <v>8.33</v>
      </c>
    </row>
    <row r="11" spans="1:30" x14ac:dyDescent="0.2">
      <c r="A11" t="s">
        <v>30</v>
      </c>
      <c r="B11" t="s">
        <v>1</v>
      </c>
      <c r="C11" t="s">
        <v>2</v>
      </c>
      <c r="D11" t="s">
        <v>42</v>
      </c>
      <c r="E11" t="s">
        <v>120</v>
      </c>
      <c r="F11" t="s">
        <v>1</v>
      </c>
      <c r="G11" t="s">
        <v>32</v>
      </c>
      <c r="I11" t="s">
        <v>35</v>
      </c>
      <c r="J11" t="s">
        <v>36</v>
      </c>
      <c r="K11" t="s">
        <v>39</v>
      </c>
      <c r="L11">
        <v>10000</v>
      </c>
      <c r="M11">
        <v>8</v>
      </c>
      <c r="N11">
        <v>1250</v>
      </c>
      <c r="O11">
        <v>100</v>
      </c>
      <c r="P11">
        <v>100</v>
      </c>
      <c r="Q11">
        <v>332967</v>
      </c>
      <c r="R11">
        <v>95</v>
      </c>
      <c r="S11">
        <v>336935</v>
      </c>
      <c r="T11">
        <v>95</v>
      </c>
      <c r="U11">
        <v>279333</v>
      </c>
      <c r="V11">
        <v>95</v>
      </c>
      <c r="W11">
        <v>87820.22</v>
      </c>
      <c r="X11">
        <v>9.93</v>
      </c>
      <c r="Y11">
        <v>26.38</v>
      </c>
      <c r="Z11">
        <v>10.44</v>
      </c>
      <c r="AA11">
        <v>104572.97</v>
      </c>
      <c r="AB11">
        <v>10.38</v>
      </c>
      <c r="AC11">
        <v>31.04</v>
      </c>
      <c r="AD11">
        <v>10.92</v>
      </c>
    </row>
    <row r="12" spans="1:30" x14ac:dyDescent="0.2">
      <c r="A12" t="s">
        <v>30</v>
      </c>
      <c r="B12" t="s">
        <v>1</v>
      </c>
      <c r="C12" t="s">
        <v>2</v>
      </c>
      <c r="D12" t="s">
        <v>42</v>
      </c>
      <c r="E12" t="s">
        <v>120</v>
      </c>
      <c r="F12" t="s">
        <v>1</v>
      </c>
      <c r="G12" t="s">
        <v>32</v>
      </c>
      <c r="I12" t="s">
        <v>38</v>
      </c>
      <c r="J12" t="s">
        <v>40</v>
      </c>
      <c r="L12">
        <v>5911</v>
      </c>
      <c r="M12">
        <v>8</v>
      </c>
      <c r="N12">
        <v>738.875</v>
      </c>
      <c r="O12">
        <v>59.11</v>
      </c>
      <c r="P12">
        <v>59.11</v>
      </c>
      <c r="Q12">
        <v>513</v>
      </c>
      <c r="R12" t="s">
        <v>33</v>
      </c>
      <c r="S12">
        <v>448</v>
      </c>
      <c r="T12" t="s">
        <v>33</v>
      </c>
      <c r="U12">
        <v>374</v>
      </c>
      <c r="V12" t="s">
        <v>33</v>
      </c>
      <c r="W12">
        <v>326.33999999999997</v>
      </c>
      <c r="X12" t="s">
        <v>33</v>
      </c>
      <c r="Y12">
        <v>63.66</v>
      </c>
      <c r="Z12" t="s">
        <v>33</v>
      </c>
      <c r="AA12">
        <v>179.39</v>
      </c>
      <c r="AB12" t="s">
        <v>33</v>
      </c>
      <c r="AC12">
        <v>40.04</v>
      </c>
      <c r="AD12" t="s">
        <v>33</v>
      </c>
    </row>
    <row r="13" spans="1:30" x14ac:dyDescent="0.2">
      <c r="A13" t="s">
        <v>30</v>
      </c>
      <c r="B13" t="s">
        <v>1</v>
      </c>
      <c r="C13" t="s">
        <v>2</v>
      </c>
      <c r="D13" t="s">
        <v>42</v>
      </c>
      <c r="E13" t="s">
        <v>120</v>
      </c>
      <c r="F13" t="s">
        <v>1</v>
      </c>
      <c r="G13" t="s">
        <v>32</v>
      </c>
      <c r="I13" t="s">
        <v>38</v>
      </c>
      <c r="J13" t="s">
        <v>41</v>
      </c>
      <c r="L13">
        <v>5911</v>
      </c>
      <c r="M13">
        <v>8</v>
      </c>
      <c r="N13">
        <v>738.875</v>
      </c>
      <c r="O13">
        <v>59.11</v>
      </c>
      <c r="P13">
        <v>59.11</v>
      </c>
      <c r="Q13">
        <v>15782</v>
      </c>
      <c r="R13" t="s">
        <v>33</v>
      </c>
      <c r="S13">
        <v>14837</v>
      </c>
      <c r="T13" t="s">
        <v>33</v>
      </c>
      <c r="U13">
        <v>14250</v>
      </c>
      <c r="V13" t="s">
        <v>33</v>
      </c>
      <c r="W13">
        <v>7109.15</v>
      </c>
      <c r="X13" t="s">
        <v>33</v>
      </c>
      <c r="Y13">
        <v>45.05</v>
      </c>
      <c r="Z13" t="s">
        <v>33</v>
      </c>
      <c r="AA13">
        <v>5574.58</v>
      </c>
      <c r="AB13" t="s">
        <v>33</v>
      </c>
      <c r="AC13">
        <v>37.57</v>
      </c>
      <c r="AD13" t="s">
        <v>33</v>
      </c>
    </row>
    <row r="14" spans="1:30" x14ac:dyDescent="0.2">
      <c r="A14" t="s">
        <v>30</v>
      </c>
      <c r="B14" t="s">
        <v>1</v>
      </c>
      <c r="C14" t="s">
        <v>2</v>
      </c>
      <c r="D14" t="s">
        <v>43</v>
      </c>
      <c r="E14" t="s">
        <v>116</v>
      </c>
      <c r="F14" t="s">
        <v>1</v>
      </c>
      <c r="G14" t="s">
        <v>32</v>
      </c>
      <c r="H14" t="s">
        <v>33</v>
      </c>
      <c r="I14" t="s">
        <v>34</v>
      </c>
      <c r="J14" t="s">
        <v>33</v>
      </c>
      <c r="K14" t="s">
        <v>33</v>
      </c>
      <c r="L14">
        <v>10000</v>
      </c>
      <c r="M14">
        <v>4</v>
      </c>
      <c r="N14">
        <v>2500</v>
      </c>
      <c r="O14">
        <v>100</v>
      </c>
      <c r="P14">
        <v>100</v>
      </c>
      <c r="Q14" t="s">
        <v>33</v>
      </c>
      <c r="R14" t="s">
        <v>33</v>
      </c>
      <c r="S14" t="s">
        <v>33</v>
      </c>
      <c r="T14" t="s">
        <v>33</v>
      </c>
      <c r="U14" t="s">
        <v>33</v>
      </c>
      <c r="V14" t="s">
        <v>33</v>
      </c>
      <c r="W14" t="s">
        <v>33</v>
      </c>
      <c r="X14" t="s">
        <v>33</v>
      </c>
      <c r="Y14" t="s">
        <v>33</v>
      </c>
      <c r="Z14" t="s">
        <v>33</v>
      </c>
      <c r="AA14" t="s">
        <v>33</v>
      </c>
      <c r="AB14" t="s">
        <v>33</v>
      </c>
      <c r="AC14" t="s">
        <v>33</v>
      </c>
      <c r="AD14" t="s">
        <v>33</v>
      </c>
    </row>
    <row r="15" spans="1:30" x14ac:dyDescent="0.2">
      <c r="A15" t="s">
        <v>30</v>
      </c>
      <c r="B15" t="s">
        <v>1</v>
      </c>
      <c r="C15" t="s">
        <v>2</v>
      </c>
      <c r="D15" t="s">
        <v>43</v>
      </c>
      <c r="E15" t="s">
        <v>116</v>
      </c>
      <c r="F15" t="s">
        <v>1</v>
      </c>
      <c r="G15" t="s">
        <v>32</v>
      </c>
      <c r="I15" t="s">
        <v>35</v>
      </c>
      <c r="J15" t="s">
        <v>36</v>
      </c>
      <c r="K15" t="s">
        <v>37</v>
      </c>
      <c r="L15">
        <v>10000</v>
      </c>
      <c r="M15">
        <v>4</v>
      </c>
      <c r="N15">
        <v>2500</v>
      </c>
      <c r="O15">
        <v>100</v>
      </c>
      <c r="P15">
        <v>100</v>
      </c>
      <c r="Q15">
        <v>319495</v>
      </c>
      <c r="R15">
        <v>90725</v>
      </c>
      <c r="S15">
        <v>316540</v>
      </c>
      <c r="T15">
        <v>85685</v>
      </c>
      <c r="U15">
        <v>244764</v>
      </c>
      <c r="V15">
        <v>78790</v>
      </c>
      <c r="W15">
        <v>82781.279999999999</v>
      </c>
      <c r="X15">
        <v>30554.68</v>
      </c>
      <c r="Y15">
        <v>25.91</v>
      </c>
      <c r="Z15">
        <v>33.68</v>
      </c>
      <c r="AA15">
        <v>99798.25</v>
      </c>
      <c r="AB15">
        <v>28139.75</v>
      </c>
      <c r="AC15">
        <v>31.53</v>
      </c>
      <c r="AD15">
        <v>32.840000000000003</v>
      </c>
    </row>
    <row r="16" spans="1:30" x14ac:dyDescent="0.2">
      <c r="A16" t="s">
        <v>30</v>
      </c>
      <c r="B16" t="s">
        <v>1</v>
      </c>
      <c r="C16" t="s">
        <v>2</v>
      </c>
      <c r="D16" t="s">
        <v>43</v>
      </c>
      <c r="E16" t="s">
        <v>116</v>
      </c>
      <c r="F16" t="s">
        <v>1</v>
      </c>
      <c r="G16" t="s">
        <v>32</v>
      </c>
      <c r="I16" t="s">
        <v>38</v>
      </c>
      <c r="J16" t="s">
        <v>36</v>
      </c>
      <c r="K16" t="s">
        <v>39</v>
      </c>
      <c r="L16">
        <v>5894</v>
      </c>
      <c r="M16">
        <v>4</v>
      </c>
      <c r="N16">
        <v>1473.5</v>
      </c>
      <c r="O16">
        <v>58.94</v>
      </c>
      <c r="P16">
        <v>58.94</v>
      </c>
      <c r="Q16">
        <v>317836</v>
      </c>
      <c r="R16">
        <v>89</v>
      </c>
      <c r="S16">
        <v>313194</v>
      </c>
      <c r="T16">
        <v>88</v>
      </c>
      <c r="U16">
        <v>253056</v>
      </c>
      <c r="V16">
        <v>88</v>
      </c>
      <c r="W16">
        <v>82782.36</v>
      </c>
      <c r="X16">
        <v>7.1</v>
      </c>
      <c r="Y16">
        <v>26.05</v>
      </c>
      <c r="Z16">
        <v>7.99</v>
      </c>
      <c r="AA16">
        <v>99434.27</v>
      </c>
      <c r="AB16">
        <v>7.41</v>
      </c>
      <c r="AC16">
        <v>31.75</v>
      </c>
      <c r="AD16">
        <v>8.42</v>
      </c>
    </row>
    <row r="17" spans="1:30" x14ac:dyDescent="0.2">
      <c r="A17" t="s">
        <v>30</v>
      </c>
      <c r="B17" t="s">
        <v>1</v>
      </c>
      <c r="C17" t="s">
        <v>2</v>
      </c>
      <c r="D17" t="s">
        <v>43</v>
      </c>
      <c r="E17" t="s">
        <v>116</v>
      </c>
      <c r="F17" t="s">
        <v>1</v>
      </c>
      <c r="G17" t="s">
        <v>32</v>
      </c>
      <c r="I17" t="s">
        <v>35</v>
      </c>
      <c r="J17" t="s">
        <v>36</v>
      </c>
      <c r="K17" t="s">
        <v>39</v>
      </c>
      <c r="L17">
        <v>10000</v>
      </c>
      <c r="M17">
        <v>4</v>
      </c>
      <c r="N17">
        <v>2500</v>
      </c>
      <c r="O17">
        <v>100</v>
      </c>
      <c r="P17">
        <v>100</v>
      </c>
      <c r="Q17">
        <v>319495</v>
      </c>
      <c r="R17">
        <v>95</v>
      </c>
      <c r="S17">
        <v>316540</v>
      </c>
      <c r="T17">
        <v>94</v>
      </c>
      <c r="U17">
        <v>244764</v>
      </c>
      <c r="V17">
        <v>97</v>
      </c>
      <c r="W17">
        <v>82781.279999999999</v>
      </c>
      <c r="X17">
        <v>10.050000000000001</v>
      </c>
      <c r="Y17">
        <v>25.91</v>
      </c>
      <c r="Z17">
        <v>10.61</v>
      </c>
      <c r="AA17">
        <v>99798.25</v>
      </c>
      <c r="AB17">
        <v>11.86</v>
      </c>
      <c r="AC17">
        <v>31.53</v>
      </c>
      <c r="AD17">
        <v>12.62</v>
      </c>
    </row>
    <row r="18" spans="1:30" x14ac:dyDescent="0.2">
      <c r="A18" t="s">
        <v>30</v>
      </c>
      <c r="B18" t="s">
        <v>1</v>
      </c>
      <c r="C18" t="s">
        <v>2</v>
      </c>
      <c r="D18" t="s">
        <v>43</v>
      </c>
      <c r="E18" t="s">
        <v>116</v>
      </c>
      <c r="F18" t="s">
        <v>1</v>
      </c>
      <c r="G18" t="s">
        <v>32</v>
      </c>
      <c r="I18" t="s">
        <v>38</v>
      </c>
      <c r="J18" t="s">
        <v>40</v>
      </c>
      <c r="L18">
        <v>5894</v>
      </c>
      <c r="M18">
        <v>4</v>
      </c>
      <c r="N18">
        <v>1473.5</v>
      </c>
      <c r="O18">
        <v>58.94</v>
      </c>
      <c r="P18">
        <v>58.94</v>
      </c>
      <c r="Q18">
        <v>325</v>
      </c>
      <c r="R18" t="s">
        <v>33</v>
      </c>
      <c r="S18">
        <v>300</v>
      </c>
      <c r="T18" t="s">
        <v>33</v>
      </c>
      <c r="U18">
        <v>326</v>
      </c>
      <c r="V18" t="s">
        <v>33</v>
      </c>
      <c r="W18">
        <v>175.1</v>
      </c>
      <c r="X18" t="s">
        <v>33</v>
      </c>
      <c r="Y18">
        <v>53.8</v>
      </c>
      <c r="Z18" t="s">
        <v>33</v>
      </c>
      <c r="AA18">
        <v>118.61</v>
      </c>
      <c r="AB18" t="s">
        <v>33</v>
      </c>
      <c r="AC18">
        <v>39.54</v>
      </c>
      <c r="AD18" t="s">
        <v>33</v>
      </c>
    </row>
    <row r="19" spans="1:30" x14ac:dyDescent="0.2">
      <c r="A19" t="s">
        <v>30</v>
      </c>
      <c r="B19" t="s">
        <v>1</v>
      </c>
      <c r="C19" t="s">
        <v>2</v>
      </c>
      <c r="D19" t="s">
        <v>43</v>
      </c>
      <c r="E19" t="s">
        <v>116</v>
      </c>
      <c r="F19" t="s">
        <v>1</v>
      </c>
      <c r="G19" t="s">
        <v>32</v>
      </c>
      <c r="I19" t="s">
        <v>38</v>
      </c>
      <c r="J19" t="s">
        <v>41</v>
      </c>
      <c r="L19">
        <v>5894</v>
      </c>
      <c r="M19">
        <v>4</v>
      </c>
      <c r="N19">
        <v>1473.5</v>
      </c>
      <c r="O19">
        <v>58.94</v>
      </c>
      <c r="P19">
        <v>58.94</v>
      </c>
      <c r="Q19">
        <v>4185</v>
      </c>
      <c r="R19" t="s">
        <v>33</v>
      </c>
      <c r="S19">
        <v>3791</v>
      </c>
      <c r="T19" t="s">
        <v>33</v>
      </c>
      <c r="U19">
        <v>4273</v>
      </c>
      <c r="V19" t="s">
        <v>33</v>
      </c>
      <c r="W19">
        <v>1981</v>
      </c>
      <c r="X19" t="s">
        <v>33</v>
      </c>
      <c r="Y19">
        <v>47.33</v>
      </c>
      <c r="Z19" t="s">
        <v>33</v>
      </c>
      <c r="AA19">
        <v>1561.18</v>
      </c>
      <c r="AB19" t="s">
        <v>33</v>
      </c>
      <c r="AC19">
        <v>41.18</v>
      </c>
      <c r="AD19" t="s">
        <v>33</v>
      </c>
    </row>
    <row r="20" spans="1:30" x14ac:dyDescent="0.2">
      <c r="A20" t="s">
        <v>30</v>
      </c>
      <c r="B20" t="s">
        <v>1</v>
      </c>
      <c r="C20" t="s">
        <v>2</v>
      </c>
      <c r="D20" t="s">
        <v>44</v>
      </c>
      <c r="E20" t="s">
        <v>117</v>
      </c>
      <c r="F20" t="s">
        <v>1</v>
      </c>
      <c r="G20" t="s">
        <v>32</v>
      </c>
      <c r="H20" t="s">
        <v>33</v>
      </c>
      <c r="I20" t="s">
        <v>34</v>
      </c>
      <c r="J20" t="s">
        <v>33</v>
      </c>
      <c r="K20" t="s">
        <v>33</v>
      </c>
      <c r="L20">
        <v>10000</v>
      </c>
      <c r="M20">
        <v>4</v>
      </c>
      <c r="N20">
        <v>2500</v>
      </c>
      <c r="O20">
        <v>100</v>
      </c>
      <c r="P20">
        <v>100</v>
      </c>
      <c r="Q20" t="s">
        <v>33</v>
      </c>
      <c r="R20" t="s">
        <v>33</v>
      </c>
      <c r="S20" t="s">
        <v>33</v>
      </c>
      <c r="T20" t="s">
        <v>33</v>
      </c>
      <c r="U20" t="s">
        <v>33</v>
      </c>
      <c r="V20" t="s">
        <v>33</v>
      </c>
      <c r="W20" t="s">
        <v>33</v>
      </c>
      <c r="X20" t="s">
        <v>33</v>
      </c>
      <c r="Y20" t="s">
        <v>33</v>
      </c>
      <c r="Z20" t="s">
        <v>33</v>
      </c>
      <c r="AA20" t="s">
        <v>33</v>
      </c>
      <c r="AB20" t="s">
        <v>33</v>
      </c>
      <c r="AC20" t="s">
        <v>33</v>
      </c>
      <c r="AD20" t="s">
        <v>33</v>
      </c>
    </row>
    <row r="21" spans="1:30" x14ac:dyDescent="0.2">
      <c r="A21" t="s">
        <v>30</v>
      </c>
      <c r="B21" t="s">
        <v>1</v>
      </c>
      <c r="C21" t="s">
        <v>2</v>
      </c>
      <c r="D21" t="s">
        <v>44</v>
      </c>
      <c r="E21" t="s">
        <v>117</v>
      </c>
      <c r="F21" t="s">
        <v>1</v>
      </c>
      <c r="G21" t="s">
        <v>32</v>
      </c>
      <c r="I21" t="s">
        <v>35</v>
      </c>
      <c r="J21" t="s">
        <v>36</v>
      </c>
      <c r="K21" t="s">
        <v>37</v>
      </c>
      <c r="L21">
        <v>10000</v>
      </c>
      <c r="M21">
        <v>4</v>
      </c>
      <c r="N21">
        <v>2500</v>
      </c>
      <c r="O21">
        <v>100</v>
      </c>
      <c r="P21">
        <v>100</v>
      </c>
      <c r="Q21">
        <v>317853</v>
      </c>
      <c r="R21">
        <v>91442</v>
      </c>
      <c r="S21">
        <v>316376</v>
      </c>
      <c r="T21">
        <v>86118</v>
      </c>
      <c r="U21">
        <v>359541</v>
      </c>
      <c r="V21">
        <v>72691</v>
      </c>
      <c r="W21">
        <v>83901.4</v>
      </c>
      <c r="X21">
        <v>31758.31</v>
      </c>
      <c r="Y21">
        <v>26.4</v>
      </c>
      <c r="Z21">
        <v>34.729999999999997</v>
      </c>
      <c r="AA21">
        <v>101715.25</v>
      </c>
      <c r="AB21">
        <v>30213.9</v>
      </c>
      <c r="AC21">
        <v>32.15</v>
      </c>
      <c r="AD21">
        <v>35.08</v>
      </c>
    </row>
    <row r="22" spans="1:30" x14ac:dyDescent="0.2">
      <c r="A22" t="s">
        <v>30</v>
      </c>
      <c r="B22" t="s">
        <v>1</v>
      </c>
      <c r="C22" t="s">
        <v>2</v>
      </c>
      <c r="D22" t="s">
        <v>44</v>
      </c>
      <c r="E22" t="s">
        <v>117</v>
      </c>
      <c r="F22" t="s">
        <v>1</v>
      </c>
      <c r="G22" t="s">
        <v>32</v>
      </c>
      <c r="I22" t="s">
        <v>38</v>
      </c>
      <c r="J22" t="s">
        <v>36</v>
      </c>
      <c r="K22" t="s">
        <v>39</v>
      </c>
      <c r="L22">
        <v>6156</v>
      </c>
      <c r="M22">
        <v>4</v>
      </c>
      <c r="N22">
        <v>1539</v>
      </c>
      <c r="O22">
        <v>61.56</v>
      </c>
      <c r="P22">
        <v>61.56</v>
      </c>
      <c r="Q22">
        <v>314403</v>
      </c>
      <c r="R22">
        <v>90</v>
      </c>
      <c r="S22">
        <v>312309</v>
      </c>
      <c r="T22">
        <v>89</v>
      </c>
      <c r="U22">
        <v>254922</v>
      </c>
      <c r="V22">
        <v>89</v>
      </c>
      <c r="W22">
        <v>83326.59</v>
      </c>
      <c r="X22">
        <v>7.11</v>
      </c>
      <c r="Y22">
        <v>26.5</v>
      </c>
      <c r="Z22">
        <v>7.93</v>
      </c>
      <c r="AA22">
        <v>101875.37</v>
      </c>
      <c r="AB22">
        <v>7.41</v>
      </c>
      <c r="AC22">
        <v>32.619999999999997</v>
      </c>
      <c r="AD22">
        <v>8.33</v>
      </c>
    </row>
    <row r="23" spans="1:30" x14ac:dyDescent="0.2">
      <c r="A23" t="s">
        <v>30</v>
      </c>
      <c r="B23" t="s">
        <v>1</v>
      </c>
      <c r="C23" t="s">
        <v>2</v>
      </c>
      <c r="D23" t="s">
        <v>44</v>
      </c>
      <c r="E23" t="s">
        <v>117</v>
      </c>
      <c r="F23" t="s">
        <v>1</v>
      </c>
      <c r="G23" t="s">
        <v>32</v>
      </c>
      <c r="I23" t="s">
        <v>35</v>
      </c>
      <c r="J23" t="s">
        <v>36</v>
      </c>
      <c r="K23" t="s">
        <v>39</v>
      </c>
      <c r="L23">
        <v>10000</v>
      </c>
      <c r="M23">
        <v>4</v>
      </c>
      <c r="N23">
        <v>2500</v>
      </c>
      <c r="O23">
        <v>100</v>
      </c>
      <c r="P23">
        <v>100</v>
      </c>
      <c r="Q23">
        <v>317853</v>
      </c>
      <c r="R23">
        <v>95</v>
      </c>
      <c r="S23">
        <v>316376</v>
      </c>
      <c r="T23">
        <v>94</v>
      </c>
      <c r="U23">
        <v>359541</v>
      </c>
      <c r="V23">
        <v>97</v>
      </c>
      <c r="W23">
        <v>83901.4</v>
      </c>
      <c r="X23">
        <v>9.5399999999999991</v>
      </c>
      <c r="Y23">
        <v>26.4</v>
      </c>
      <c r="Z23">
        <v>10.08</v>
      </c>
      <c r="AA23">
        <v>101715.25</v>
      </c>
      <c r="AB23">
        <v>10.38</v>
      </c>
      <c r="AC23">
        <v>32.15</v>
      </c>
      <c r="AD23">
        <v>11.04</v>
      </c>
    </row>
    <row r="24" spans="1:30" x14ac:dyDescent="0.2">
      <c r="A24" t="s">
        <v>30</v>
      </c>
      <c r="B24" t="s">
        <v>1</v>
      </c>
      <c r="C24" t="s">
        <v>2</v>
      </c>
      <c r="D24" t="s">
        <v>44</v>
      </c>
      <c r="E24" t="s">
        <v>117</v>
      </c>
      <c r="F24" t="s">
        <v>1</v>
      </c>
      <c r="G24" t="s">
        <v>32</v>
      </c>
      <c r="I24" t="s">
        <v>38</v>
      </c>
      <c r="J24" t="s">
        <v>40</v>
      </c>
      <c r="L24">
        <v>6156</v>
      </c>
      <c r="M24">
        <v>4</v>
      </c>
      <c r="N24">
        <v>1539</v>
      </c>
      <c r="O24">
        <v>61.56</v>
      </c>
      <c r="P24">
        <v>61.56</v>
      </c>
      <c r="Q24">
        <v>364</v>
      </c>
      <c r="R24" t="s">
        <v>33</v>
      </c>
      <c r="S24">
        <v>314</v>
      </c>
      <c r="T24" t="s">
        <v>33</v>
      </c>
      <c r="U24">
        <v>336</v>
      </c>
      <c r="V24" t="s">
        <v>33</v>
      </c>
      <c r="W24">
        <v>310.13</v>
      </c>
      <c r="X24" t="s">
        <v>33</v>
      </c>
      <c r="Y24">
        <v>85.27</v>
      </c>
      <c r="Z24" t="s">
        <v>33</v>
      </c>
      <c r="AA24">
        <v>139.36000000000001</v>
      </c>
      <c r="AB24" t="s">
        <v>33</v>
      </c>
      <c r="AC24">
        <v>44.38</v>
      </c>
      <c r="AD24" t="s">
        <v>33</v>
      </c>
    </row>
    <row r="25" spans="1:30" x14ac:dyDescent="0.2">
      <c r="A25" t="s">
        <v>30</v>
      </c>
      <c r="B25" t="s">
        <v>1</v>
      </c>
      <c r="C25" t="s">
        <v>2</v>
      </c>
      <c r="D25" t="s">
        <v>44</v>
      </c>
      <c r="E25" t="s">
        <v>117</v>
      </c>
      <c r="F25" t="s">
        <v>1</v>
      </c>
      <c r="G25" t="s">
        <v>32</v>
      </c>
      <c r="I25" t="s">
        <v>38</v>
      </c>
      <c r="J25" t="s">
        <v>41</v>
      </c>
      <c r="L25">
        <v>6156</v>
      </c>
      <c r="M25">
        <v>4</v>
      </c>
      <c r="N25">
        <v>1539</v>
      </c>
      <c r="O25">
        <v>61.56</v>
      </c>
      <c r="P25">
        <v>61.56</v>
      </c>
      <c r="Q25">
        <v>4547</v>
      </c>
      <c r="R25" t="s">
        <v>33</v>
      </c>
      <c r="S25">
        <v>4115</v>
      </c>
      <c r="T25" t="s">
        <v>33</v>
      </c>
      <c r="U25">
        <v>4571</v>
      </c>
      <c r="V25" t="s">
        <v>33</v>
      </c>
      <c r="W25">
        <v>2224.6999999999998</v>
      </c>
      <c r="X25" t="s">
        <v>33</v>
      </c>
      <c r="Y25">
        <v>48.92</v>
      </c>
      <c r="Z25" t="s">
        <v>33</v>
      </c>
      <c r="AA25">
        <v>1847.32</v>
      </c>
      <c r="AB25" t="s">
        <v>33</v>
      </c>
      <c r="AC25">
        <v>44.89</v>
      </c>
      <c r="AD25" t="s">
        <v>33</v>
      </c>
    </row>
    <row r="26" spans="1:30" x14ac:dyDescent="0.2">
      <c r="A26" t="s">
        <v>30</v>
      </c>
      <c r="B26" t="s">
        <v>1</v>
      </c>
      <c r="C26" t="s">
        <v>2</v>
      </c>
      <c r="D26" t="s">
        <v>45</v>
      </c>
      <c r="E26" t="s">
        <v>121</v>
      </c>
      <c r="F26" t="s">
        <v>1</v>
      </c>
      <c r="G26" t="s">
        <v>32</v>
      </c>
      <c r="H26" t="s">
        <v>33</v>
      </c>
      <c r="I26" t="s">
        <v>34</v>
      </c>
      <c r="J26" t="s">
        <v>33</v>
      </c>
      <c r="K26" t="s">
        <v>33</v>
      </c>
      <c r="L26">
        <v>10000</v>
      </c>
      <c r="M26">
        <v>7</v>
      </c>
      <c r="N26">
        <v>1428.5709999999999</v>
      </c>
      <c r="O26">
        <v>100</v>
      </c>
      <c r="P26">
        <v>100</v>
      </c>
      <c r="Q26" t="s">
        <v>33</v>
      </c>
      <c r="R26" t="s">
        <v>33</v>
      </c>
      <c r="S26" t="s">
        <v>33</v>
      </c>
      <c r="T26" t="s">
        <v>33</v>
      </c>
      <c r="U26" t="s">
        <v>33</v>
      </c>
      <c r="V26" t="s">
        <v>33</v>
      </c>
      <c r="W26" t="s">
        <v>33</v>
      </c>
      <c r="X26" t="s">
        <v>33</v>
      </c>
      <c r="Y26" t="s">
        <v>33</v>
      </c>
      <c r="Z26" t="s">
        <v>33</v>
      </c>
      <c r="AA26" t="s">
        <v>33</v>
      </c>
      <c r="AB26" t="s">
        <v>33</v>
      </c>
      <c r="AC26" t="s">
        <v>33</v>
      </c>
      <c r="AD26" t="s">
        <v>33</v>
      </c>
    </row>
    <row r="27" spans="1:30" x14ac:dyDescent="0.2">
      <c r="A27" t="s">
        <v>30</v>
      </c>
      <c r="B27" t="s">
        <v>1</v>
      </c>
      <c r="C27" t="s">
        <v>2</v>
      </c>
      <c r="D27" t="s">
        <v>45</v>
      </c>
      <c r="E27" t="s">
        <v>121</v>
      </c>
      <c r="F27" t="s">
        <v>1</v>
      </c>
      <c r="G27" t="s">
        <v>32</v>
      </c>
      <c r="I27" t="s">
        <v>35</v>
      </c>
      <c r="J27" t="s">
        <v>36</v>
      </c>
      <c r="K27" t="s">
        <v>37</v>
      </c>
      <c r="L27">
        <v>10000</v>
      </c>
      <c r="M27">
        <v>7</v>
      </c>
      <c r="N27">
        <v>1428.5709999999999</v>
      </c>
      <c r="O27">
        <v>100</v>
      </c>
      <c r="P27">
        <v>100</v>
      </c>
      <c r="Q27">
        <v>336383</v>
      </c>
      <c r="R27">
        <v>91926</v>
      </c>
      <c r="S27">
        <v>339388</v>
      </c>
      <c r="T27">
        <v>88044</v>
      </c>
      <c r="U27">
        <v>392104</v>
      </c>
      <c r="V27">
        <v>82889</v>
      </c>
      <c r="W27">
        <v>83346.38</v>
      </c>
      <c r="X27">
        <v>30035.72</v>
      </c>
      <c r="Y27">
        <v>24.78</v>
      </c>
      <c r="Z27">
        <v>32.67</v>
      </c>
      <c r="AA27">
        <v>101088.86</v>
      </c>
      <c r="AB27">
        <v>27651.23</v>
      </c>
      <c r="AC27">
        <v>29.79</v>
      </c>
      <c r="AD27">
        <v>31.41</v>
      </c>
    </row>
    <row r="28" spans="1:30" x14ac:dyDescent="0.2">
      <c r="A28" t="s">
        <v>30</v>
      </c>
      <c r="B28" t="s">
        <v>1</v>
      </c>
      <c r="C28" t="s">
        <v>2</v>
      </c>
      <c r="D28" t="s">
        <v>45</v>
      </c>
      <c r="E28" t="s">
        <v>121</v>
      </c>
      <c r="F28" t="s">
        <v>1</v>
      </c>
      <c r="G28" t="s">
        <v>32</v>
      </c>
      <c r="I28" t="s">
        <v>38</v>
      </c>
      <c r="J28" t="s">
        <v>36</v>
      </c>
      <c r="K28" t="s">
        <v>39</v>
      </c>
      <c r="L28">
        <v>5480</v>
      </c>
      <c r="M28">
        <v>7</v>
      </c>
      <c r="N28">
        <v>782.85699999999997</v>
      </c>
      <c r="O28">
        <v>54.8</v>
      </c>
      <c r="P28">
        <v>54.8</v>
      </c>
      <c r="Q28">
        <v>339387</v>
      </c>
      <c r="R28">
        <v>91</v>
      </c>
      <c r="S28">
        <v>343053</v>
      </c>
      <c r="T28">
        <v>90</v>
      </c>
      <c r="U28">
        <v>402437</v>
      </c>
      <c r="V28">
        <v>89</v>
      </c>
      <c r="W28">
        <v>82149.240000000005</v>
      </c>
      <c r="X28">
        <v>7.02</v>
      </c>
      <c r="Y28">
        <v>24.21</v>
      </c>
      <c r="Z28">
        <v>7.75</v>
      </c>
      <c r="AA28">
        <v>97894.59</v>
      </c>
      <c r="AB28">
        <v>7.41</v>
      </c>
      <c r="AC28">
        <v>28.54</v>
      </c>
      <c r="AD28">
        <v>8.24</v>
      </c>
    </row>
    <row r="29" spans="1:30" x14ac:dyDescent="0.2">
      <c r="A29" t="s">
        <v>30</v>
      </c>
      <c r="B29" t="s">
        <v>1</v>
      </c>
      <c r="C29" t="s">
        <v>2</v>
      </c>
      <c r="D29" t="s">
        <v>45</v>
      </c>
      <c r="E29" t="s">
        <v>121</v>
      </c>
      <c r="F29" t="s">
        <v>1</v>
      </c>
      <c r="G29" t="s">
        <v>32</v>
      </c>
      <c r="I29" t="s">
        <v>35</v>
      </c>
      <c r="J29" t="s">
        <v>36</v>
      </c>
      <c r="K29" t="s">
        <v>39</v>
      </c>
      <c r="L29">
        <v>10000</v>
      </c>
      <c r="M29">
        <v>7</v>
      </c>
      <c r="N29">
        <v>1428.5709999999999</v>
      </c>
      <c r="O29">
        <v>100</v>
      </c>
      <c r="P29">
        <v>100</v>
      </c>
      <c r="Q29">
        <v>336383</v>
      </c>
      <c r="R29">
        <v>96</v>
      </c>
      <c r="S29">
        <v>339388</v>
      </c>
      <c r="T29">
        <v>96</v>
      </c>
      <c r="U29">
        <v>392104</v>
      </c>
      <c r="V29">
        <v>95</v>
      </c>
      <c r="W29">
        <v>83346.38</v>
      </c>
      <c r="X29">
        <v>9.19</v>
      </c>
      <c r="Y29">
        <v>24.78</v>
      </c>
      <c r="Z29">
        <v>9.59</v>
      </c>
      <c r="AA29">
        <v>101088.86</v>
      </c>
      <c r="AB29">
        <v>10.38</v>
      </c>
      <c r="AC29">
        <v>29.79</v>
      </c>
      <c r="AD29">
        <v>10.81</v>
      </c>
    </row>
    <row r="30" spans="1:30" x14ac:dyDescent="0.2">
      <c r="A30" t="s">
        <v>30</v>
      </c>
      <c r="B30" t="s">
        <v>1</v>
      </c>
      <c r="C30" t="s">
        <v>2</v>
      </c>
      <c r="D30" t="s">
        <v>45</v>
      </c>
      <c r="E30" t="s">
        <v>121</v>
      </c>
      <c r="F30" t="s">
        <v>1</v>
      </c>
      <c r="G30" t="s">
        <v>32</v>
      </c>
      <c r="I30" t="s">
        <v>38</v>
      </c>
      <c r="J30" t="s">
        <v>40</v>
      </c>
      <c r="L30">
        <v>5480</v>
      </c>
      <c r="M30">
        <v>7</v>
      </c>
      <c r="N30">
        <v>782.85699999999997</v>
      </c>
      <c r="O30">
        <v>54.8</v>
      </c>
      <c r="P30">
        <v>54.8</v>
      </c>
      <c r="Q30">
        <v>467</v>
      </c>
      <c r="R30" t="s">
        <v>33</v>
      </c>
      <c r="S30">
        <v>441</v>
      </c>
      <c r="T30" t="s">
        <v>33</v>
      </c>
      <c r="U30">
        <v>410</v>
      </c>
      <c r="V30" t="s">
        <v>33</v>
      </c>
      <c r="W30">
        <v>190.1</v>
      </c>
      <c r="X30" t="s">
        <v>33</v>
      </c>
      <c r="Y30">
        <v>40.68</v>
      </c>
      <c r="Z30" t="s">
        <v>33</v>
      </c>
      <c r="AA30">
        <v>163.09</v>
      </c>
      <c r="AB30" t="s">
        <v>33</v>
      </c>
      <c r="AC30">
        <v>36.979999999999997</v>
      </c>
      <c r="AD30" t="s">
        <v>33</v>
      </c>
    </row>
    <row r="31" spans="1:30" x14ac:dyDescent="0.2">
      <c r="A31" t="s">
        <v>30</v>
      </c>
      <c r="B31" t="s">
        <v>1</v>
      </c>
      <c r="C31" t="s">
        <v>2</v>
      </c>
      <c r="D31" t="s">
        <v>45</v>
      </c>
      <c r="E31" t="s">
        <v>121</v>
      </c>
      <c r="F31" t="s">
        <v>1</v>
      </c>
      <c r="G31" t="s">
        <v>32</v>
      </c>
      <c r="I31" t="s">
        <v>38</v>
      </c>
      <c r="J31" t="s">
        <v>41</v>
      </c>
      <c r="L31">
        <v>5480</v>
      </c>
      <c r="M31">
        <v>7</v>
      </c>
      <c r="N31">
        <v>782.85699999999997</v>
      </c>
      <c r="O31">
        <v>54.8</v>
      </c>
      <c r="P31">
        <v>54.8</v>
      </c>
      <c r="Q31">
        <v>16429</v>
      </c>
      <c r="R31" t="s">
        <v>33</v>
      </c>
      <c r="S31">
        <v>15541</v>
      </c>
      <c r="T31" t="s">
        <v>33</v>
      </c>
      <c r="U31">
        <v>14640</v>
      </c>
      <c r="V31" t="s">
        <v>33</v>
      </c>
      <c r="W31">
        <v>6621.26</v>
      </c>
      <c r="X31" t="s">
        <v>33</v>
      </c>
      <c r="Y31">
        <v>40.299999999999997</v>
      </c>
      <c r="Z31" t="s">
        <v>33</v>
      </c>
      <c r="AA31">
        <v>5848.86</v>
      </c>
      <c r="AB31" t="s">
        <v>33</v>
      </c>
      <c r="AC31">
        <v>37.64</v>
      </c>
      <c r="AD31" t="s">
        <v>33</v>
      </c>
    </row>
    <row r="32" spans="1:30" x14ac:dyDescent="0.2">
      <c r="A32" t="s">
        <v>30</v>
      </c>
      <c r="B32" t="s">
        <v>1</v>
      </c>
      <c r="C32" t="s">
        <v>2</v>
      </c>
      <c r="D32" t="s">
        <v>46</v>
      </c>
      <c r="E32" t="s">
        <v>119</v>
      </c>
      <c r="F32" t="s">
        <v>1</v>
      </c>
      <c r="G32" t="s">
        <v>32</v>
      </c>
      <c r="H32" t="s">
        <v>33</v>
      </c>
      <c r="I32" t="s">
        <v>34</v>
      </c>
      <c r="J32" t="s">
        <v>33</v>
      </c>
      <c r="K32" t="s">
        <v>33</v>
      </c>
      <c r="L32">
        <v>10000</v>
      </c>
      <c r="M32">
        <v>3</v>
      </c>
      <c r="N32">
        <v>3333.3330000000001</v>
      </c>
      <c r="O32">
        <v>100</v>
      </c>
      <c r="P32">
        <v>100</v>
      </c>
      <c r="Q32" t="s">
        <v>33</v>
      </c>
      <c r="R32" t="s">
        <v>33</v>
      </c>
      <c r="S32" t="s">
        <v>33</v>
      </c>
      <c r="T32" t="s">
        <v>33</v>
      </c>
      <c r="U32" t="s">
        <v>33</v>
      </c>
      <c r="V32" t="s">
        <v>33</v>
      </c>
      <c r="W32" t="s">
        <v>33</v>
      </c>
      <c r="X32" t="s">
        <v>33</v>
      </c>
      <c r="Y32" t="s">
        <v>33</v>
      </c>
      <c r="Z32" t="s">
        <v>33</v>
      </c>
      <c r="AA32" t="s">
        <v>33</v>
      </c>
      <c r="AB32" t="s">
        <v>33</v>
      </c>
      <c r="AC32" t="s">
        <v>33</v>
      </c>
      <c r="AD32" t="s">
        <v>33</v>
      </c>
    </row>
    <row r="33" spans="1:30" x14ac:dyDescent="0.2">
      <c r="A33" t="s">
        <v>30</v>
      </c>
      <c r="B33" t="s">
        <v>1</v>
      </c>
      <c r="C33" t="s">
        <v>2</v>
      </c>
      <c r="D33" t="s">
        <v>46</v>
      </c>
      <c r="E33" t="s">
        <v>119</v>
      </c>
      <c r="F33" t="s">
        <v>1</v>
      </c>
      <c r="G33" t="s">
        <v>32</v>
      </c>
      <c r="I33" t="s">
        <v>35</v>
      </c>
      <c r="J33" t="s">
        <v>36</v>
      </c>
      <c r="K33" t="s">
        <v>37</v>
      </c>
      <c r="L33">
        <v>10000</v>
      </c>
      <c r="M33">
        <v>3</v>
      </c>
      <c r="N33">
        <v>3333.3330000000001</v>
      </c>
      <c r="O33">
        <v>100</v>
      </c>
      <c r="P33">
        <v>100</v>
      </c>
      <c r="Q33">
        <v>324250</v>
      </c>
      <c r="R33">
        <v>91402</v>
      </c>
      <c r="S33">
        <v>322727</v>
      </c>
      <c r="T33">
        <v>86454</v>
      </c>
      <c r="U33">
        <v>267303</v>
      </c>
      <c r="V33">
        <v>82939</v>
      </c>
      <c r="W33">
        <v>82244.52</v>
      </c>
      <c r="X33">
        <v>30489.74</v>
      </c>
      <c r="Y33">
        <v>25.36</v>
      </c>
      <c r="Z33">
        <v>33.36</v>
      </c>
      <c r="AA33">
        <v>99687.8</v>
      </c>
      <c r="AB33">
        <v>28351.02</v>
      </c>
      <c r="AC33">
        <v>30.89</v>
      </c>
      <c r="AD33">
        <v>32.79</v>
      </c>
    </row>
    <row r="34" spans="1:30" x14ac:dyDescent="0.2">
      <c r="A34" t="s">
        <v>30</v>
      </c>
      <c r="B34" t="s">
        <v>1</v>
      </c>
      <c r="C34" t="s">
        <v>2</v>
      </c>
      <c r="D34" t="s">
        <v>46</v>
      </c>
      <c r="E34" t="s">
        <v>119</v>
      </c>
      <c r="F34" t="s">
        <v>1</v>
      </c>
      <c r="G34" t="s">
        <v>32</v>
      </c>
      <c r="I34" t="s">
        <v>38</v>
      </c>
      <c r="J34" t="s">
        <v>36</v>
      </c>
      <c r="K34" t="s">
        <v>39</v>
      </c>
      <c r="L34">
        <v>5437</v>
      </c>
      <c r="M34">
        <v>3</v>
      </c>
      <c r="N34">
        <v>1812.3330000000001</v>
      </c>
      <c r="O34">
        <v>54.37</v>
      </c>
      <c r="P34">
        <v>54.37</v>
      </c>
      <c r="Q34">
        <v>325992</v>
      </c>
      <c r="R34">
        <v>90</v>
      </c>
      <c r="S34">
        <v>323869</v>
      </c>
      <c r="T34">
        <v>89</v>
      </c>
      <c r="U34">
        <v>285677</v>
      </c>
      <c r="V34">
        <v>86</v>
      </c>
      <c r="W34">
        <v>81457.02</v>
      </c>
      <c r="X34">
        <v>7.03</v>
      </c>
      <c r="Y34">
        <v>24.99</v>
      </c>
      <c r="Z34">
        <v>7.85</v>
      </c>
      <c r="AA34">
        <v>97626.240000000005</v>
      </c>
      <c r="AB34">
        <v>7.41</v>
      </c>
      <c r="AC34">
        <v>30.14</v>
      </c>
      <c r="AD34">
        <v>8.33</v>
      </c>
    </row>
    <row r="35" spans="1:30" x14ac:dyDescent="0.2">
      <c r="A35" t="s">
        <v>30</v>
      </c>
      <c r="B35" t="s">
        <v>1</v>
      </c>
      <c r="C35" t="s">
        <v>2</v>
      </c>
      <c r="D35" t="s">
        <v>46</v>
      </c>
      <c r="E35" t="s">
        <v>119</v>
      </c>
      <c r="F35" t="s">
        <v>1</v>
      </c>
      <c r="G35" t="s">
        <v>32</v>
      </c>
      <c r="I35" t="s">
        <v>35</v>
      </c>
      <c r="J35" t="s">
        <v>36</v>
      </c>
      <c r="K35" t="s">
        <v>39</v>
      </c>
      <c r="L35">
        <v>10000</v>
      </c>
      <c r="M35">
        <v>3</v>
      </c>
      <c r="N35">
        <v>3333.3330000000001</v>
      </c>
      <c r="O35">
        <v>100</v>
      </c>
      <c r="P35">
        <v>100</v>
      </c>
      <c r="Q35">
        <v>324250</v>
      </c>
      <c r="R35">
        <v>95</v>
      </c>
      <c r="S35">
        <v>322727</v>
      </c>
      <c r="T35">
        <v>95</v>
      </c>
      <c r="U35">
        <v>267303</v>
      </c>
      <c r="V35">
        <v>94</v>
      </c>
      <c r="W35">
        <v>82244.52</v>
      </c>
      <c r="X35">
        <v>9.66</v>
      </c>
      <c r="Y35">
        <v>25.36</v>
      </c>
      <c r="Z35">
        <v>10.14</v>
      </c>
      <c r="AA35">
        <v>99687.8</v>
      </c>
      <c r="AB35">
        <v>10.38</v>
      </c>
      <c r="AC35">
        <v>30.89</v>
      </c>
      <c r="AD35">
        <v>10.92</v>
      </c>
    </row>
    <row r="36" spans="1:30" x14ac:dyDescent="0.2">
      <c r="A36" t="s">
        <v>30</v>
      </c>
      <c r="B36" t="s">
        <v>1</v>
      </c>
      <c r="C36" t="s">
        <v>2</v>
      </c>
      <c r="D36" t="s">
        <v>46</v>
      </c>
      <c r="E36" t="s">
        <v>119</v>
      </c>
      <c r="F36" t="s">
        <v>1</v>
      </c>
      <c r="G36" t="s">
        <v>32</v>
      </c>
      <c r="I36" t="s">
        <v>38</v>
      </c>
      <c r="J36" t="s">
        <v>40</v>
      </c>
      <c r="L36">
        <v>5437</v>
      </c>
      <c r="M36">
        <v>3</v>
      </c>
      <c r="N36">
        <v>1812.3330000000001</v>
      </c>
      <c r="O36">
        <v>54.37</v>
      </c>
      <c r="P36">
        <v>54.37</v>
      </c>
      <c r="Q36">
        <v>299</v>
      </c>
      <c r="R36" t="s">
        <v>33</v>
      </c>
      <c r="S36">
        <v>280</v>
      </c>
      <c r="T36" t="s">
        <v>33</v>
      </c>
      <c r="U36">
        <v>246</v>
      </c>
      <c r="V36" t="s">
        <v>33</v>
      </c>
      <c r="W36">
        <v>121.83</v>
      </c>
      <c r="X36" t="s">
        <v>33</v>
      </c>
      <c r="Y36">
        <v>40.71</v>
      </c>
      <c r="Z36" t="s">
        <v>33</v>
      </c>
      <c r="AA36">
        <v>111.19</v>
      </c>
      <c r="AB36" t="s">
        <v>33</v>
      </c>
      <c r="AC36">
        <v>39.71</v>
      </c>
      <c r="AD36" t="s">
        <v>33</v>
      </c>
    </row>
    <row r="37" spans="1:30" x14ac:dyDescent="0.2">
      <c r="A37" t="s">
        <v>30</v>
      </c>
      <c r="B37" t="s">
        <v>1</v>
      </c>
      <c r="C37" t="s">
        <v>2</v>
      </c>
      <c r="D37" t="s">
        <v>46</v>
      </c>
      <c r="E37" t="s">
        <v>119</v>
      </c>
      <c r="F37" t="s">
        <v>1</v>
      </c>
      <c r="G37" t="s">
        <v>32</v>
      </c>
      <c r="I37" t="s">
        <v>38</v>
      </c>
      <c r="J37" t="s">
        <v>41</v>
      </c>
      <c r="L37">
        <v>5437</v>
      </c>
      <c r="M37">
        <v>3</v>
      </c>
      <c r="N37">
        <v>1812.3330000000001</v>
      </c>
      <c r="O37">
        <v>54.37</v>
      </c>
      <c r="P37">
        <v>54.37</v>
      </c>
      <c r="Q37">
        <v>7205</v>
      </c>
      <c r="R37" t="s">
        <v>33</v>
      </c>
      <c r="S37">
        <v>6442</v>
      </c>
      <c r="T37" t="s">
        <v>33</v>
      </c>
      <c r="U37">
        <v>5378</v>
      </c>
      <c r="V37" t="s">
        <v>33</v>
      </c>
      <c r="W37">
        <v>3525.9</v>
      </c>
      <c r="X37" t="s">
        <v>33</v>
      </c>
      <c r="Y37">
        <v>48.94</v>
      </c>
      <c r="Z37" t="s">
        <v>33</v>
      </c>
      <c r="AA37">
        <v>2708.71</v>
      </c>
      <c r="AB37" t="s">
        <v>33</v>
      </c>
      <c r="AC37">
        <v>42.05</v>
      </c>
      <c r="AD37" t="s">
        <v>33</v>
      </c>
    </row>
    <row r="38" spans="1:30" x14ac:dyDescent="0.2">
      <c r="A38" t="s">
        <v>30</v>
      </c>
      <c r="B38" t="s">
        <v>1</v>
      </c>
      <c r="C38" t="s">
        <v>2</v>
      </c>
      <c r="D38" t="s">
        <v>47</v>
      </c>
      <c r="E38" t="s">
        <v>122</v>
      </c>
      <c r="F38" t="s">
        <v>1</v>
      </c>
      <c r="G38" t="s">
        <v>32</v>
      </c>
      <c r="H38" t="s">
        <v>33</v>
      </c>
      <c r="I38" t="s">
        <v>34</v>
      </c>
      <c r="J38" t="s">
        <v>33</v>
      </c>
      <c r="K38" t="s">
        <v>33</v>
      </c>
      <c r="L38">
        <v>10000</v>
      </c>
      <c r="M38">
        <v>4</v>
      </c>
      <c r="N38">
        <v>2500</v>
      </c>
      <c r="O38">
        <v>100</v>
      </c>
      <c r="P38">
        <v>100</v>
      </c>
      <c r="Q38" t="s">
        <v>33</v>
      </c>
      <c r="R38" t="s">
        <v>33</v>
      </c>
      <c r="S38" t="s">
        <v>33</v>
      </c>
      <c r="T38" t="s">
        <v>33</v>
      </c>
      <c r="U38" t="s">
        <v>33</v>
      </c>
      <c r="V38" t="s">
        <v>33</v>
      </c>
      <c r="W38" t="s">
        <v>33</v>
      </c>
      <c r="X38" t="s">
        <v>33</v>
      </c>
      <c r="Y38" t="s">
        <v>33</v>
      </c>
      <c r="Z38" t="s">
        <v>33</v>
      </c>
      <c r="AA38" t="s">
        <v>33</v>
      </c>
      <c r="AB38" t="s">
        <v>33</v>
      </c>
      <c r="AC38" t="s">
        <v>33</v>
      </c>
      <c r="AD38" t="s">
        <v>33</v>
      </c>
    </row>
    <row r="39" spans="1:30" x14ac:dyDescent="0.2">
      <c r="A39" t="s">
        <v>30</v>
      </c>
      <c r="B39" t="s">
        <v>1</v>
      </c>
      <c r="C39" t="s">
        <v>2</v>
      </c>
      <c r="D39" t="s">
        <v>47</v>
      </c>
      <c r="E39" t="s">
        <v>122</v>
      </c>
      <c r="F39" t="s">
        <v>1</v>
      </c>
      <c r="G39" t="s">
        <v>32</v>
      </c>
      <c r="I39" t="s">
        <v>35</v>
      </c>
      <c r="J39" t="s">
        <v>36</v>
      </c>
      <c r="K39" t="s">
        <v>37</v>
      </c>
      <c r="L39">
        <v>10000</v>
      </c>
      <c r="M39">
        <v>4</v>
      </c>
      <c r="N39">
        <v>2500</v>
      </c>
      <c r="O39">
        <v>100</v>
      </c>
      <c r="P39">
        <v>100</v>
      </c>
      <c r="Q39">
        <v>318976</v>
      </c>
      <c r="R39">
        <v>90909</v>
      </c>
      <c r="S39">
        <v>315897</v>
      </c>
      <c r="T39">
        <v>85781</v>
      </c>
      <c r="U39">
        <v>250766</v>
      </c>
      <c r="V39">
        <v>84967</v>
      </c>
      <c r="W39">
        <v>81251.009999999995</v>
      </c>
      <c r="X39">
        <v>30519.01</v>
      </c>
      <c r="Y39">
        <v>25.47</v>
      </c>
      <c r="Z39">
        <v>33.57</v>
      </c>
      <c r="AA39">
        <v>96963.520000000004</v>
      </c>
      <c r="AB39">
        <v>27743.89</v>
      </c>
      <c r="AC39">
        <v>30.69</v>
      </c>
      <c r="AD39">
        <v>32.340000000000003</v>
      </c>
    </row>
    <row r="40" spans="1:30" x14ac:dyDescent="0.2">
      <c r="A40" t="s">
        <v>30</v>
      </c>
      <c r="B40" t="s">
        <v>1</v>
      </c>
      <c r="C40" t="s">
        <v>2</v>
      </c>
      <c r="D40" t="s">
        <v>47</v>
      </c>
      <c r="E40" t="s">
        <v>122</v>
      </c>
      <c r="F40" t="s">
        <v>1</v>
      </c>
      <c r="G40" t="s">
        <v>32</v>
      </c>
      <c r="I40" t="s">
        <v>38</v>
      </c>
      <c r="J40" t="s">
        <v>36</v>
      </c>
      <c r="K40" t="s">
        <v>39</v>
      </c>
      <c r="L40">
        <v>5495</v>
      </c>
      <c r="M40">
        <v>4</v>
      </c>
      <c r="N40">
        <v>1373.75</v>
      </c>
      <c r="O40">
        <v>54.95</v>
      </c>
      <c r="P40">
        <v>54.95</v>
      </c>
      <c r="Q40">
        <v>319449</v>
      </c>
      <c r="R40">
        <v>89</v>
      </c>
      <c r="S40">
        <v>316577</v>
      </c>
      <c r="T40">
        <v>88</v>
      </c>
      <c r="U40">
        <v>250980</v>
      </c>
      <c r="V40">
        <v>89</v>
      </c>
      <c r="W40">
        <v>80983.69</v>
      </c>
      <c r="X40">
        <v>7.01</v>
      </c>
      <c r="Y40">
        <v>25.35</v>
      </c>
      <c r="Z40">
        <v>7.9</v>
      </c>
      <c r="AA40">
        <v>96403.1</v>
      </c>
      <c r="AB40">
        <v>7.41</v>
      </c>
      <c r="AC40">
        <v>30.45</v>
      </c>
      <c r="AD40">
        <v>8.42</v>
      </c>
    </row>
    <row r="41" spans="1:30" x14ac:dyDescent="0.2">
      <c r="A41" t="s">
        <v>30</v>
      </c>
      <c r="B41" t="s">
        <v>1</v>
      </c>
      <c r="C41" t="s">
        <v>2</v>
      </c>
      <c r="D41" t="s">
        <v>47</v>
      </c>
      <c r="E41" t="s">
        <v>122</v>
      </c>
      <c r="F41" t="s">
        <v>1</v>
      </c>
      <c r="G41" t="s">
        <v>32</v>
      </c>
      <c r="I41" t="s">
        <v>35</v>
      </c>
      <c r="J41" t="s">
        <v>36</v>
      </c>
      <c r="K41" t="s">
        <v>39</v>
      </c>
      <c r="L41">
        <v>10000</v>
      </c>
      <c r="M41">
        <v>4</v>
      </c>
      <c r="N41">
        <v>2500</v>
      </c>
      <c r="O41">
        <v>100</v>
      </c>
      <c r="P41">
        <v>100</v>
      </c>
      <c r="Q41">
        <v>318976</v>
      </c>
      <c r="R41">
        <v>95</v>
      </c>
      <c r="S41">
        <v>315897</v>
      </c>
      <c r="T41">
        <v>94</v>
      </c>
      <c r="U41">
        <v>250766</v>
      </c>
      <c r="V41">
        <v>96</v>
      </c>
      <c r="W41">
        <v>81251.009999999995</v>
      </c>
      <c r="X41">
        <v>9.82</v>
      </c>
      <c r="Y41">
        <v>25.47</v>
      </c>
      <c r="Z41">
        <v>10.38</v>
      </c>
      <c r="AA41">
        <v>96963.520000000004</v>
      </c>
      <c r="AB41">
        <v>10.38</v>
      </c>
      <c r="AC41">
        <v>30.69</v>
      </c>
      <c r="AD41">
        <v>11.04</v>
      </c>
    </row>
    <row r="42" spans="1:30" x14ac:dyDescent="0.2">
      <c r="A42" t="s">
        <v>30</v>
      </c>
      <c r="B42" t="s">
        <v>1</v>
      </c>
      <c r="C42" t="s">
        <v>2</v>
      </c>
      <c r="D42" t="s">
        <v>47</v>
      </c>
      <c r="E42" t="s">
        <v>122</v>
      </c>
      <c r="F42" t="s">
        <v>1</v>
      </c>
      <c r="G42" t="s">
        <v>32</v>
      </c>
      <c r="I42" t="s">
        <v>38</v>
      </c>
      <c r="J42" t="s">
        <v>40</v>
      </c>
      <c r="L42">
        <v>5495</v>
      </c>
      <c r="M42">
        <v>4</v>
      </c>
      <c r="N42">
        <v>1373.75</v>
      </c>
      <c r="O42">
        <v>54.95</v>
      </c>
      <c r="P42">
        <v>54.95</v>
      </c>
      <c r="Q42">
        <v>299</v>
      </c>
      <c r="R42" t="s">
        <v>33</v>
      </c>
      <c r="S42">
        <v>280</v>
      </c>
      <c r="T42" t="s">
        <v>33</v>
      </c>
      <c r="U42">
        <v>278</v>
      </c>
      <c r="V42" t="s">
        <v>33</v>
      </c>
      <c r="W42">
        <v>133.1</v>
      </c>
      <c r="X42" t="s">
        <v>33</v>
      </c>
      <c r="Y42">
        <v>44.45</v>
      </c>
      <c r="Z42" t="s">
        <v>33</v>
      </c>
      <c r="AA42">
        <v>117.13</v>
      </c>
      <c r="AB42" t="s">
        <v>33</v>
      </c>
      <c r="AC42">
        <v>41.83</v>
      </c>
      <c r="AD42" t="s">
        <v>33</v>
      </c>
    </row>
    <row r="43" spans="1:30" x14ac:dyDescent="0.2">
      <c r="A43" t="s">
        <v>30</v>
      </c>
      <c r="B43" t="s">
        <v>1</v>
      </c>
      <c r="C43" t="s">
        <v>2</v>
      </c>
      <c r="D43" t="s">
        <v>47</v>
      </c>
      <c r="E43" t="s">
        <v>122</v>
      </c>
      <c r="F43" t="s">
        <v>1</v>
      </c>
      <c r="G43" t="s">
        <v>32</v>
      </c>
      <c r="I43" t="s">
        <v>38</v>
      </c>
      <c r="J43" t="s">
        <v>41</v>
      </c>
      <c r="L43">
        <v>5495</v>
      </c>
      <c r="M43">
        <v>4</v>
      </c>
      <c r="N43">
        <v>1373.75</v>
      </c>
      <c r="O43">
        <v>54.95</v>
      </c>
      <c r="P43">
        <v>54.95</v>
      </c>
      <c r="Q43">
        <v>7522</v>
      </c>
      <c r="R43" t="s">
        <v>33</v>
      </c>
      <c r="S43">
        <v>6771</v>
      </c>
      <c r="T43" t="s">
        <v>33</v>
      </c>
      <c r="U43">
        <v>7247</v>
      </c>
      <c r="V43" t="s">
        <v>33</v>
      </c>
      <c r="W43">
        <v>3631.26</v>
      </c>
      <c r="X43" t="s">
        <v>33</v>
      </c>
      <c r="Y43">
        <v>48.28</v>
      </c>
      <c r="Z43" t="s">
        <v>33</v>
      </c>
      <c r="AA43">
        <v>2862.9</v>
      </c>
      <c r="AB43" t="s">
        <v>33</v>
      </c>
      <c r="AC43">
        <v>42.28</v>
      </c>
      <c r="AD43" t="s">
        <v>33</v>
      </c>
    </row>
    <row r="44" spans="1:30" x14ac:dyDescent="0.2">
      <c r="A44" t="s">
        <v>30</v>
      </c>
      <c r="B44" t="s">
        <v>1</v>
      </c>
      <c r="C44" t="s">
        <v>2</v>
      </c>
      <c r="D44" t="s">
        <v>48</v>
      </c>
      <c r="E44" t="s">
        <v>123</v>
      </c>
      <c r="F44" t="s">
        <v>1</v>
      </c>
      <c r="G44" t="s">
        <v>32</v>
      </c>
      <c r="H44" t="s">
        <v>33</v>
      </c>
      <c r="I44" t="s">
        <v>34</v>
      </c>
      <c r="J44" t="s">
        <v>33</v>
      </c>
      <c r="K44" t="s">
        <v>33</v>
      </c>
      <c r="L44">
        <v>10000</v>
      </c>
      <c r="M44">
        <v>4</v>
      </c>
      <c r="N44">
        <v>2500</v>
      </c>
      <c r="O44">
        <v>100</v>
      </c>
      <c r="P44">
        <v>100</v>
      </c>
      <c r="Q44" t="s">
        <v>33</v>
      </c>
      <c r="R44" t="s">
        <v>33</v>
      </c>
      <c r="S44" t="s">
        <v>33</v>
      </c>
      <c r="T44" t="s">
        <v>33</v>
      </c>
      <c r="U44" t="s">
        <v>33</v>
      </c>
      <c r="V44" t="s">
        <v>33</v>
      </c>
      <c r="W44" t="s">
        <v>33</v>
      </c>
      <c r="X44" t="s">
        <v>33</v>
      </c>
      <c r="Y44" t="s">
        <v>33</v>
      </c>
      <c r="Z44" t="s">
        <v>33</v>
      </c>
      <c r="AA44" t="s">
        <v>33</v>
      </c>
      <c r="AB44" t="s">
        <v>33</v>
      </c>
      <c r="AC44" t="s">
        <v>33</v>
      </c>
      <c r="AD44" t="s">
        <v>33</v>
      </c>
    </row>
    <row r="45" spans="1:30" x14ac:dyDescent="0.2">
      <c r="A45" t="s">
        <v>30</v>
      </c>
      <c r="B45" t="s">
        <v>1</v>
      </c>
      <c r="C45" t="s">
        <v>2</v>
      </c>
      <c r="D45" t="s">
        <v>48</v>
      </c>
      <c r="E45" t="s">
        <v>123</v>
      </c>
      <c r="F45" t="s">
        <v>1</v>
      </c>
      <c r="G45" t="s">
        <v>32</v>
      </c>
      <c r="I45" t="s">
        <v>35</v>
      </c>
      <c r="J45" t="s">
        <v>36</v>
      </c>
      <c r="K45" t="s">
        <v>37</v>
      </c>
      <c r="L45">
        <v>10000</v>
      </c>
      <c r="M45">
        <v>4</v>
      </c>
      <c r="N45">
        <v>2500</v>
      </c>
      <c r="O45">
        <v>100</v>
      </c>
      <c r="P45">
        <v>100</v>
      </c>
      <c r="Q45">
        <v>329101</v>
      </c>
      <c r="R45">
        <v>94248</v>
      </c>
      <c r="S45">
        <v>330557</v>
      </c>
      <c r="T45">
        <v>89711</v>
      </c>
      <c r="U45">
        <v>363748</v>
      </c>
      <c r="V45">
        <v>76913</v>
      </c>
      <c r="W45">
        <v>81567.53</v>
      </c>
      <c r="X45">
        <v>31414.38</v>
      </c>
      <c r="Y45">
        <v>24.78</v>
      </c>
      <c r="Z45">
        <v>33.33</v>
      </c>
      <c r="AA45">
        <v>98859.02</v>
      </c>
      <c r="AB45">
        <v>29989.29</v>
      </c>
      <c r="AC45">
        <v>29.91</v>
      </c>
      <c r="AD45">
        <v>33.43</v>
      </c>
    </row>
    <row r="46" spans="1:30" x14ac:dyDescent="0.2">
      <c r="A46" t="s">
        <v>30</v>
      </c>
      <c r="B46" t="s">
        <v>1</v>
      </c>
      <c r="C46" t="s">
        <v>2</v>
      </c>
      <c r="D46" t="s">
        <v>48</v>
      </c>
      <c r="E46" t="s">
        <v>123</v>
      </c>
      <c r="F46" t="s">
        <v>1</v>
      </c>
      <c r="G46" t="s">
        <v>32</v>
      </c>
      <c r="I46" t="s">
        <v>38</v>
      </c>
      <c r="J46" t="s">
        <v>36</v>
      </c>
      <c r="K46" t="s">
        <v>39</v>
      </c>
      <c r="L46">
        <v>5318</v>
      </c>
      <c r="M46">
        <v>4</v>
      </c>
      <c r="N46">
        <v>1329.5</v>
      </c>
      <c r="O46">
        <v>53.18</v>
      </c>
      <c r="P46">
        <v>53.18</v>
      </c>
      <c r="Q46">
        <v>331141</v>
      </c>
      <c r="R46">
        <v>90</v>
      </c>
      <c r="S46">
        <v>333522</v>
      </c>
      <c r="T46">
        <v>90</v>
      </c>
      <c r="U46">
        <v>318469</v>
      </c>
      <c r="V46">
        <v>89</v>
      </c>
      <c r="W46">
        <v>81033.37</v>
      </c>
      <c r="X46">
        <v>7.01</v>
      </c>
      <c r="Y46">
        <v>24.47</v>
      </c>
      <c r="Z46">
        <v>7.78</v>
      </c>
      <c r="AA46">
        <v>96864.93</v>
      </c>
      <c r="AB46">
        <v>7.41</v>
      </c>
      <c r="AC46">
        <v>29.04</v>
      </c>
      <c r="AD46">
        <v>8.24</v>
      </c>
    </row>
    <row r="47" spans="1:30" x14ac:dyDescent="0.2">
      <c r="A47" t="s">
        <v>30</v>
      </c>
      <c r="B47" t="s">
        <v>1</v>
      </c>
      <c r="C47" t="s">
        <v>2</v>
      </c>
      <c r="D47" t="s">
        <v>48</v>
      </c>
      <c r="E47" t="s">
        <v>123</v>
      </c>
      <c r="F47" t="s">
        <v>1</v>
      </c>
      <c r="G47" t="s">
        <v>32</v>
      </c>
      <c r="I47" t="s">
        <v>35</v>
      </c>
      <c r="J47" t="s">
        <v>36</v>
      </c>
      <c r="K47" t="s">
        <v>39</v>
      </c>
      <c r="L47">
        <v>10000</v>
      </c>
      <c r="M47">
        <v>4</v>
      </c>
      <c r="N47">
        <v>2500</v>
      </c>
      <c r="O47">
        <v>100</v>
      </c>
      <c r="P47">
        <v>100</v>
      </c>
      <c r="Q47">
        <v>329101</v>
      </c>
      <c r="R47">
        <v>96</v>
      </c>
      <c r="S47">
        <v>330557</v>
      </c>
      <c r="T47">
        <v>96</v>
      </c>
      <c r="U47">
        <v>363748</v>
      </c>
      <c r="V47">
        <v>96</v>
      </c>
      <c r="W47">
        <v>81567.53</v>
      </c>
      <c r="X47">
        <v>9.51</v>
      </c>
      <c r="Y47">
        <v>24.78</v>
      </c>
      <c r="Z47">
        <v>9.93</v>
      </c>
      <c r="AA47">
        <v>98859.02</v>
      </c>
      <c r="AB47">
        <v>10.38</v>
      </c>
      <c r="AC47">
        <v>29.91</v>
      </c>
      <c r="AD47">
        <v>10.81</v>
      </c>
    </row>
    <row r="48" spans="1:30" x14ac:dyDescent="0.2">
      <c r="A48" t="s">
        <v>30</v>
      </c>
      <c r="B48" t="s">
        <v>1</v>
      </c>
      <c r="C48" t="s">
        <v>2</v>
      </c>
      <c r="D48" t="s">
        <v>48</v>
      </c>
      <c r="E48" t="s">
        <v>123</v>
      </c>
      <c r="F48" t="s">
        <v>1</v>
      </c>
      <c r="G48" t="s">
        <v>32</v>
      </c>
      <c r="I48" t="s">
        <v>38</v>
      </c>
      <c r="J48" t="s">
        <v>40</v>
      </c>
      <c r="L48">
        <v>5318</v>
      </c>
      <c r="M48">
        <v>4</v>
      </c>
      <c r="N48">
        <v>1329.5</v>
      </c>
      <c r="O48">
        <v>53.18</v>
      </c>
      <c r="P48">
        <v>53.18</v>
      </c>
      <c r="Q48">
        <v>337</v>
      </c>
      <c r="R48" t="s">
        <v>33</v>
      </c>
      <c r="S48">
        <v>319</v>
      </c>
      <c r="T48" t="s">
        <v>33</v>
      </c>
      <c r="U48">
        <v>309</v>
      </c>
      <c r="V48" t="s">
        <v>33</v>
      </c>
      <c r="W48">
        <v>136.51</v>
      </c>
      <c r="X48" t="s">
        <v>33</v>
      </c>
      <c r="Y48">
        <v>40.46</v>
      </c>
      <c r="Z48" t="s">
        <v>33</v>
      </c>
      <c r="AA48">
        <v>128.99</v>
      </c>
      <c r="AB48" t="s">
        <v>33</v>
      </c>
      <c r="AC48">
        <v>40.43</v>
      </c>
      <c r="AD48" t="s">
        <v>33</v>
      </c>
    </row>
    <row r="49" spans="1:30" x14ac:dyDescent="0.2">
      <c r="A49" t="s">
        <v>30</v>
      </c>
      <c r="B49" t="s">
        <v>1</v>
      </c>
      <c r="C49" t="s">
        <v>2</v>
      </c>
      <c r="D49" t="s">
        <v>48</v>
      </c>
      <c r="E49" t="s">
        <v>123</v>
      </c>
      <c r="F49" t="s">
        <v>1</v>
      </c>
      <c r="G49" t="s">
        <v>32</v>
      </c>
      <c r="I49" t="s">
        <v>38</v>
      </c>
      <c r="J49" t="s">
        <v>41</v>
      </c>
      <c r="L49">
        <v>5318</v>
      </c>
      <c r="M49">
        <v>4</v>
      </c>
      <c r="N49">
        <v>1329.5</v>
      </c>
      <c r="O49">
        <v>53.18</v>
      </c>
      <c r="P49">
        <v>53.18</v>
      </c>
      <c r="Q49">
        <v>9169</v>
      </c>
      <c r="R49" t="s">
        <v>33</v>
      </c>
      <c r="S49">
        <v>8484</v>
      </c>
      <c r="T49" t="s">
        <v>33</v>
      </c>
      <c r="U49">
        <v>7975</v>
      </c>
      <c r="V49" t="s">
        <v>33</v>
      </c>
      <c r="W49">
        <v>4151.68</v>
      </c>
      <c r="X49" t="s">
        <v>33</v>
      </c>
      <c r="Y49">
        <v>45.28</v>
      </c>
      <c r="Z49" t="s">
        <v>33</v>
      </c>
      <c r="AA49">
        <v>3456.68</v>
      </c>
      <c r="AB49" t="s">
        <v>33</v>
      </c>
      <c r="AC49">
        <v>40.74</v>
      </c>
      <c r="AD49" t="s">
        <v>33</v>
      </c>
    </row>
    <row r="50" spans="1:30" x14ac:dyDescent="0.2">
      <c r="A50" t="s">
        <v>30</v>
      </c>
      <c r="B50" t="s">
        <v>1</v>
      </c>
      <c r="C50" t="s">
        <v>2</v>
      </c>
      <c r="D50" t="s">
        <v>49</v>
      </c>
      <c r="E50" t="s">
        <v>125</v>
      </c>
      <c r="F50" t="s">
        <v>1</v>
      </c>
      <c r="G50" t="s">
        <v>32</v>
      </c>
      <c r="H50" t="s">
        <v>33</v>
      </c>
      <c r="I50" t="s">
        <v>34</v>
      </c>
      <c r="J50" t="s">
        <v>33</v>
      </c>
      <c r="K50" t="s">
        <v>33</v>
      </c>
      <c r="L50">
        <v>10000</v>
      </c>
      <c r="M50">
        <v>14</v>
      </c>
      <c r="N50">
        <v>714.28599999999994</v>
      </c>
      <c r="O50">
        <v>100</v>
      </c>
      <c r="P50">
        <v>100</v>
      </c>
      <c r="Q50" t="s">
        <v>33</v>
      </c>
      <c r="R50" t="s">
        <v>33</v>
      </c>
      <c r="S50" t="s">
        <v>33</v>
      </c>
      <c r="T50" t="s">
        <v>33</v>
      </c>
      <c r="U50" t="s">
        <v>33</v>
      </c>
      <c r="V50" t="s">
        <v>33</v>
      </c>
      <c r="W50" t="s">
        <v>33</v>
      </c>
      <c r="X50" t="s">
        <v>33</v>
      </c>
      <c r="Y50" t="s">
        <v>33</v>
      </c>
      <c r="Z50" t="s">
        <v>33</v>
      </c>
      <c r="AA50" t="s">
        <v>33</v>
      </c>
      <c r="AB50" t="s">
        <v>33</v>
      </c>
      <c r="AC50" t="s">
        <v>33</v>
      </c>
      <c r="AD50" t="s">
        <v>33</v>
      </c>
    </row>
    <row r="51" spans="1:30" x14ac:dyDescent="0.2">
      <c r="A51" t="s">
        <v>30</v>
      </c>
      <c r="B51" t="s">
        <v>1</v>
      </c>
      <c r="C51" t="s">
        <v>2</v>
      </c>
      <c r="D51" t="s">
        <v>49</v>
      </c>
      <c r="E51" t="s">
        <v>125</v>
      </c>
      <c r="F51" t="s">
        <v>1</v>
      </c>
      <c r="G51" t="s">
        <v>32</v>
      </c>
      <c r="I51" t="s">
        <v>35</v>
      </c>
      <c r="J51" t="s">
        <v>36</v>
      </c>
      <c r="K51" t="s">
        <v>37</v>
      </c>
      <c r="L51">
        <v>10000</v>
      </c>
      <c r="M51">
        <v>14</v>
      </c>
      <c r="N51">
        <v>714.28599999999994</v>
      </c>
      <c r="O51">
        <v>100</v>
      </c>
      <c r="P51">
        <v>100</v>
      </c>
      <c r="Q51">
        <v>347960</v>
      </c>
      <c r="R51">
        <v>95303</v>
      </c>
      <c r="S51">
        <v>353346</v>
      </c>
      <c r="T51">
        <v>90840</v>
      </c>
      <c r="U51">
        <v>394471</v>
      </c>
      <c r="V51">
        <v>87003</v>
      </c>
      <c r="W51">
        <v>82268.27</v>
      </c>
      <c r="X51">
        <v>31369.62</v>
      </c>
      <c r="Y51">
        <v>23.64</v>
      </c>
      <c r="Z51">
        <v>32.92</v>
      </c>
      <c r="AA51">
        <v>100676.69</v>
      </c>
      <c r="AB51">
        <v>29053.03</v>
      </c>
      <c r="AC51">
        <v>28.49</v>
      </c>
      <c r="AD51">
        <v>31.98</v>
      </c>
    </row>
    <row r="52" spans="1:30" x14ac:dyDescent="0.2">
      <c r="A52" t="s">
        <v>30</v>
      </c>
      <c r="B52" t="s">
        <v>1</v>
      </c>
      <c r="C52" t="s">
        <v>2</v>
      </c>
      <c r="D52" t="s">
        <v>49</v>
      </c>
      <c r="E52" t="s">
        <v>125</v>
      </c>
      <c r="F52" t="s">
        <v>1</v>
      </c>
      <c r="G52" t="s">
        <v>32</v>
      </c>
      <c r="I52" t="s">
        <v>38</v>
      </c>
      <c r="J52" t="s">
        <v>36</v>
      </c>
      <c r="K52" t="s">
        <v>39</v>
      </c>
      <c r="L52">
        <v>6230</v>
      </c>
      <c r="M52">
        <v>14</v>
      </c>
      <c r="N52">
        <v>445</v>
      </c>
      <c r="O52">
        <v>62.3</v>
      </c>
      <c r="P52">
        <v>62.3</v>
      </c>
      <c r="Q52">
        <v>345735</v>
      </c>
      <c r="R52">
        <v>92</v>
      </c>
      <c r="S52">
        <v>350914</v>
      </c>
      <c r="T52">
        <v>91</v>
      </c>
      <c r="U52">
        <v>404559</v>
      </c>
      <c r="V52">
        <v>91</v>
      </c>
      <c r="W52">
        <v>81859.399999999994</v>
      </c>
      <c r="X52">
        <v>7</v>
      </c>
      <c r="Y52">
        <v>23.68</v>
      </c>
      <c r="Z52">
        <v>7.64</v>
      </c>
      <c r="AA52">
        <v>99415.74</v>
      </c>
      <c r="AB52">
        <v>7.41</v>
      </c>
      <c r="AC52">
        <v>28.33</v>
      </c>
      <c r="AD52">
        <v>8.15</v>
      </c>
    </row>
    <row r="53" spans="1:30" x14ac:dyDescent="0.2">
      <c r="A53" t="s">
        <v>30</v>
      </c>
      <c r="B53" t="s">
        <v>1</v>
      </c>
      <c r="C53" t="s">
        <v>2</v>
      </c>
      <c r="D53" t="s">
        <v>49</v>
      </c>
      <c r="E53" t="s">
        <v>125</v>
      </c>
      <c r="F53" t="s">
        <v>1</v>
      </c>
      <c r="G53" t="s">
        <v>32</v>
      </c>
      <c r="I53" t="s">
        <v>35</v>
      </c>
      <c r="J53" t="s">
        <v>36</v>
      </c>
      <c r="K53" t="s">
        <v>39</v>
      </c>
      <c r="L53">
        <v>10000</v>
      </c>
      <c r="M53">
        <v>14</v>
      </c>
      <c r="N53">
        <v>714.28599999999994</v>
      </c>
      <c r="O53">
        <v>100</v>
      </c>
      <c r="P53">
        <v>100</v>
      </c>
      <c r="Q53">
        <v>347960</v>
      </c>
      <c r="R53">
        <v>96</v>
      </c>
      <c r="S53">
        <v>353346</v>
      </c>
      <c r="T53">
        <v>96</v>
      </c>
      <c r="U53">
        <v>394471</v>
      </c>
      <c r="V53">
        <v>97</v>
      </c>
      <c r="W53">
        <v>82268.27</v>
      </c>
      <c r="X53">
        <v>8.9499999999999993</v>
      </c>
      <c r="Y53">
        <v>23.64</v>
      </c>
      <c r="Z53">
        <v>9.31</v>
      </c>
      <c r="AA53">
        <v>100676.69</v>
      </c>
      <c r="AB53">
        <v>10.38</v>
      </c>
      <c r="AC53">
        <v>28.49</v>
      </c>
      <c r="AD53">
        <v>10.81</v>
      </c>
    </row>
    <row r="54" spans="1:30" x14ac:dyDescent="0.2">
      <c r="A54" t="s">
        <v>30</v>
      </c>
      <c r="B54" t="s">
        <v>1</v>
      </c>
      <c r="C54" t="s">
        <v>2</v>
      </c>
      <c r="D54" t="s">
        <v>49</v>
      </c>
      <c r="E54" t="s">
        <v>125</v>
      </c>
      <c r="F54" t="s">
        <v>1</v>
      </c>
      <c r="G54" t="s">
        <v>32</v>
      </c>
      <c r="I54" t="s">
        <v>38</v>
      </c>
      <c r="J54" t="s">
        <v>40</v>
      </c>
      <c r="L54">
        <v>6230</v>
      </c>
      <c r="M54">
        <v>14</v>
      </c>
      <c r="N54">
        <v>445</v>
      </c>
      <c r="O54">
        <v>62.3</v>
      </c>
      <c r="P54">
        <v>62.3</v>
      </c>
      <c r="Q54">
        <v>480</v>
      </c>
      <c r="R54" t="s">
        <v>33</v>
      </c>
      <c r="S54">
        <v>453</v>
      </c>
      <c r="T54" t="s">
        <v>33</v>
      </c>
      <c r="U54">
        <v>470</v>
      </c>
      <c r="V54" t="s">
        <v>33</v>
      </c>
      <c r="W54">
        <v>229.77</v>
      </c>
      <c r="X54" t="s">
        <v>33</v>
      </c>
      <c r="Y54">
        <v>47.84</v>
      </c>
      <c r="Z54" t="s">
        <v>33</v>
      </c>
      <c r="AA54">
        <v>176.43</v>
      </c>
      <c r="AB54" t="s">
        <v>33</v>
      </c>
      <c r="AC54">
        <v>38.950000000000003</v>
      </c>
      <c r="AD54" t="s">
        <v>33</v>
      </c>
    </row>
    <row r="55" spans="1:30" x14ac:dyDescent="0.2">
      <c r="A55" t="s">
        <v>30</v>
      </c>
      <c r="B55" t="s">
        <v>1</v>
      </c>
      <c r="C55" t="s">
        <v>2</v>
      </c>
      <c r="D55" t="s">
        <v>49</v>
      </c>
      <c r="E55" t="s">
        <v>125</v>
      </c>
      <c r="F55" t="s">
        <v>1</v>
      </c>
      <c r="G55" t="s">
        <v>32</v>
      </c>
      <c r="I55" t="s">
        <v>38</v>
      </c>
      <c r="J55" t="s">
        <v>41</v>
      </c>
      <c r="L55">
        <v>6230</v>
      </c>
      <c r="M55">
        <v>14</v>
      </c>
      <c r="N55">
        <v>445</v>
      </c>
      <c r="O55">
        <v>62.3</v>
      </c>
      <c r="P55">
        <v>62.3</v>
      </c>
      <c r="Q55">
        <v>19082</v>
      </c>
      <c r="R55" t="s">
        <v>33</v>
      </c>
      <c r="S55">
        <v>18068</v>
      </c>
      <c r="T55" t="s">
        <v>33</v>
      </c>
      <c r="U55">
        <v>16992</v>
      </c>
      <c r="V55" t="s">
        <v>33</v>
      </c>
      <c r="W55">
        <v>7495.61</v>
      </c>
      <c r="X55" t="s">
        <v>33</v>
      </c>
      <c r="Y55">
        <v>39.28</v>
      </c>
      <c r="Z55" t="s">
        <v>33</v>
      </c>
      <c r="AA55">
        <v>6223.95</v>
      </c>
      <c r="AB55" t="s">
        <v>33</v>
      </c>
      <c r="AC55">
        <v>34.450000000000003</v>
      </c>
      <c r="AD55" t="s">
        <v>33</v>
      </c>
    </row>
    <row r="56" spans="1:30" x14ac:dyDescent="0.2">
      <c r="A56" t="s">
        <v>30</v>
      </c>
      <c r="B56" t="s">
        <v>1</v>
      </c>
      <c r="C56" t="s">
        <v>2</v>
      </c>
      <c r="D56" t="s">
        <v>50</v>
      </c>
      <c r="E56" t="s">
        <v>124</v>
      </c>
      <c r="F56" t="s">
        <v>1</v>
      </c>
      <c r="G56" t="s">
        <v>32</v>
      </c>
      <c r="H56" t="s">
        <v>33</v>
      </c>
      <c r="I56" t="s">
        <v>34</v>
      </c>
      <c r="J56" t="s">
        <v>33</v>
      </c>
      <c r="K56" t="s">
        <v>33</v>
      </c>
      <c r="L56">
        <v>421</v>
      </c>
      <c r="M56">
        <v>50</v>
      </c>
      <c r="N56">
        <v>8.42</v>
      </c>
      <c r="O56">
        <v>100</v>
      </c>
      <c r="P56">
        <v>100</v>
      </c>
      <c r="Q56" t="s">
        <v>33</v>
      </c>
      <c r="R56" t="s">
        <v>33</v>
      </c>
      <c r="S56" t="s">
        <v>33</v>
      </c>
      <c r="T56" t="s">
        <v>33</v>
      </c>
      <c r="U56" t="s">
        <v>33</v>
      </c>
      <c r="V56" t="s">
        <v>33</v>
      </c>
      <c r="W56" t="s">
        <v>33</v>
      </c>
      <c r="X56" t="s">
        <v>33</v>
      </c>
      <c r="Y56" t="s">
        <v>33</v>
      </c>
      <c r="Z56" t="s">
        <v>33</v>
      </c>
      <c r="AA56" t="s">
        <v>33</v>
      </c>
      <c r="AB56" t="s">
        <v>33</v>
      </c>
      <c r="AC56" t="s">
        <v>33</v>
      </c>
      <c r="AD56" t="s">
        <v>33</v>
      </c>
    </row>
    <row r="57" spans="1:30" x14ac:dyDescent="0.2">
      <c r="A57" t="s">
        <v>30</v>
      </c>
      <c r="B57" t="s">
        <v>1</v>
      </c>
      <c r="C57" t="s">
        <v>2</v>
      </c>
      <c r="D57" t="s">
        <v>50</v>
      </c>
      <c r="E57" t="s">
        <v>124</v>
      </c>
      <c r="F57" t="s">
        <v>1</v>
      </c>
      <c r="G57" t="s">
        <v>32</v>
      </c>
      <c r="I57" t="s">
        <v>35</v>
      </c>
      <c r="J57" t="s">
        <v>36</v>
      </c>
      <c r="K57" t="s">
        <v>37</v>
      </c>
      <c r="L57">
        <v>421</v>
      </c>
      <c r="M57">
        <v>50</v>
      </c>
      <c r="N57">
        <v>8.42</v>
      </c>
      <c r="O57">
        <v>100</v>
      </c>
      <c r="P57">
        <v>100</v>
      </c>
      <c r="Q57">
        <v>203253</v>
      </c>
      <c r="R57">
        <v>86811</v>
      </c>
      <c r="S57">
        <v>186022</v>
      </c>
      <c r="T57">
        <v>85655</v>
      </c>
      <c r="U57">
        <v>179147</v>
      </c>
      <c r="V57">
        <v>68913</v>
      </c>
      <c r="W57">
        <v>54937.1</v>
      </c>
      <c r="X57">
        <v>25700.42</v>
      </c>
      <c r="Y57">
        <v>27.03</v>
      </c>
      <c r="Z57">
        <v>29.6</v>
      </c>
      <c r="AA57">
        <v>33560.129999999997</v>
      </c>
      <c r="AB57">
        <v>24385.8</v>
      </c>
      <c r="AC57">
        <v>18.04</v>
      </c>
      <c r="AD57">
        <v>28.47</v>
      </c>
    </row>
    <row r="58" spans="1:30" x14ac:dyDescent="0.2">
      <c r="A58" t="s">
        <v>30</v>
      </c>
      <c r="B58" t="s">
        <v>1</v>
      </c>
      <c r="C58" t="s">
        <v>2</v>
      </c>
      <c r="D58" t="s">
        <v>50</v>
      </c>
      <c r="E58" t="s">
        <v>124</v>
      </c>
      <c r="F58" t="s">
        <v>1</v>
      </c>
      <c r="G58" t="s">
        <v>32</v>
      </c>
      <c r="I58" t="s">
        <v>38</v>
      </c>
      <c r="J58" t="s">
        <v>36</v>
      </c>
      <c r="K58" t="s">
        <v>39</v>
      </c>
      <c r="L58">
        <v>244</v>
      </c>
      <c r="M58">
        <v>50</v>
      </c>
      <c r="N58">
        <v>4.88</v>
      </c>
      <c r="O58">
        <v>57.957000000000001</v>
      </c>
      <c r="P58">
        <v>57.957000000000001</v>
      </c>
      <c r="Q58">
        <v>204940</v>
      </c>
      <c r="R58">
        <v>84</v>
      </c>
      <c r="S58">
        <v>187533</v>
      </c>
      <c r="T58">
        <v>83</v>
      </c>
      <c r="U58">
        <v>179093</v>
      </c>
      <c r="V58">
        <v>82</v>
      </c>
      <c r="W58">
        <v>53893.27</v>
      </c>
      <c r="X58">
        <v>4.87</v>
      </c>
      <c r="Y58">
        <v>26.3</v>
      </c>
      <c r="Z58">
        <v>5.8</v>
      </c>
      <c r="AA58">
        <v>35366.68</v>
      </c>
      <c r="AB58">
        <v>4.45</v>
      </c>
      <c r="AC58">
        <v>18.86</v>
      </c>
      <c r="AD58">
        <v>5.36</v>
      </c>
    </row>
    <row r="59" spans="1:30" x14ac:dyDescent="0.2">
      <c r="A59" t="s">
        <v>30</v>
      </c>
      <c r="B59" t="s">
        <v>1</v>
      </c>
      <c r="C59" t="s">
        <v>2</v>
      </c>
      <c r="D59" t="s">
        <v>50</v>
      </c>
      <c r="E59" t="s">
        <v>124</v>
      </c>
      <c r="F59" t="s">
        <v>1</v>
      </c>
      <c r="G59" t="s">
        <v>32</v>
      </c>
      <c r="I59" t="s">
        <v>35</v>
      </c>
      <c r="J59" t="s">
        <v>36</v>
      </c>
      <c r="K59" t="s">
        <v>39</v>
      </c>
      <c r="L59">
        <v>421</v>
      </c>
      <c r="M59">
        <v>50</v>
      </c>
      <c r="N59">
        <v>8.42</v>
      </c>
      <c r="O59">
        <v>100</v>
      </c>
      <c r="P59">
        <v>100</v>
      </c>
      <c r="Q59">
        <v>203253</v>
      </c>
      <c r="R59">
        <v>88</v>
      </c>
      <c r="S59">
        <v>186022</v>
      </c>
      <c r="T59">
        <v>87</v>
      </c>
      <c r="U59">
        <v>179147</v>
      </c>
      <c r="V59">
        <v>93</v>
      </c>
      <c r="W59">
        <v>54937.1</v>
      </c>
      <c r="X59">
        <v>6.95</v>
      </c>
      <c r="Y59">
        <v>27.03</v>
      </c>
      <c r="Z59">
        <v>7.91</v>
      </c>
      <c r="AA59">
        <v>33560.129999999997</v>
      </c>
      <c r="AB59">
        <v>7.41</v>
      </c>
      <c r="AC59">
        <v>18.04</v>
      </c>
      <c r="AD59">
        <v>8.52</v>
      </c>
    </row>
    <row r="60" spans="1:30" x14ac:dyDescent="0.2">
      <c r="A60" t="s">
        <v>30</v>
      </c>
      <c r="B60" t="s">
        <v>1</v>
      </c>
      <c r="C60" t="s">
        <v>2</v>
      </c>
      <c r="D60" t="s">
        <v>50</v>
      </c>
      <c r="E60" t="s">
        <v>124</v>
      </c>
      <c r="F60" t="s">
        <v>1</v>
      </c>
      <c r="G60" t="s">
        <v>32</v>
      </c>
      <c r="I60" t="s">
        <v>38</v>
      </c>
      <c r="J60" t="s">
        <v>40</v>
      </c>
      <c r="L60">
        <v>244</v>
      </c>
      <c r="M60">
        <v>50</v>
      </c>
      <c r="N60">
        <v>4.88</v>
      </c>
      <c r="O60">
        <v>57.957000000000001</v>
      </c>
      <c r="P60">
        <v>57.957000000000001</v>
      </c>
      <c r="Q60">
        <v>1574</v>
      </c>
      <c r="R60" t="s">
        <v>33</v>
      </c>
      <c r="S60">
        <v>1360</v>
      </c>
      <c r="T60" t="s">
        <v>33</v>
      </c>
      <c r="U60">
        <v>1804</v>
      </c>
      <c r="V60" t="s">
        <v>33</v>
      </c>
      <c r="W60">
        <v>920.36</v>
      </c>
      <c r="X60" t="s">
        <v>33</v>
      </c>
      <c r="Y60">
        <v>58.48</v>
      </c>
      <c r="Z60" t="s">
        <v>33</v>
      </c>
      <c r="AA60">
        <v>498.15</v>
      </c>
      <c r="AB60" t="s">
        <v>33</v>
      </c>
      <c r="AC60">
        <v>36.630000000000003</v>
      </c>
      <c r="AD60" t="s">
        <v>33</v>
      </c>
    </row>
    <row r="61" spans="1:30" x14ac:dyDescent="0.2">
      <c r="A61" t="s">
        <v>30</v>
      </c>
      <c r="B61" t="s">
        <v>1</v>
      </c>
      <c r="C61" t="s">
        <v>2</v>
      </c>
      <c r="D61" t="s">
        <v>50</v>
      </c>
      <c r="E61" t="s">
        <v>124</v>
      </c>
      <c r="F61" t="s">
        <v>1</v>
      </c>
      <c r="G61" t="s">
        <v>32</v>
      </c>
      <c r="I61" t="s">
        <v>38</v>
      </c>
      <c r="J61" t="s">
        <v>41</v>
      </c>
      <c r="L61">
        <v>244</v>
      </c>
      <c r="M61">
        <v>50</v>
      </c>
      <c r="N61">
        <v>4.88</v>
      </c>
      <c r="O61">
        <v>57.957000000000001</v>
      </c>
      <c r="P61">
        <v>57.957000000000001</v>
      </c>
      <c r="Q61">
        <v>3100</v>
      </c>
      <c r="R61" t="s">
        <v>33</v>
      </c>
      <c r="S61">
        <v>2432</v>
      </c>
      <c r="T61" t="s">
        <v>33</v>
      </c>
      <c r="U61">
        <v>2210</v>
      </c>
      <c r="V61" t="s">
        <v>33</v>
      </c>
      <c r="W61">
        <v>2405.0700000000002</v>
      </c>
      <c r="X61" t="s">
        <v>33</v>
      </c>
      <c r="Y61">
        <v>77.59</v>
      </c>
      <c r="Z61" t="s">
        <v>33</v>
      </c>
      <c r="AA61">
        <v>849.53</v>
      </c>
      <c r="AB61" t="s">
        <v>33</v>
      </c>
      <c r="AC61">
        <v>34.93</v>
      </c>
      <c r="AD61" t="s">
        <v>33</v>
      </c>
    </row>
    <row r="62" spans="1:30" x14ac:dyDescent="0.2">
      <c r="A62" t="s">
        <v>30</v>
      </c>
      <c r="B62" t="s">
        <v>1</v>
      </c>
      <c r="C62" t="s">
        <v>2</v>
      </c>
      <c r="D62" t="s">
        <v>51</v>
      </c>
      <c r="E62" t="s">
        <v>126</v>
      </c>
      <c r="F62" t="s">
        <v>1</v>
      </c>
      <c r="G62" t="s">
        <v>32</v>
      </c>
      <c r="H62" t="s">
        <v>33</v>
      </c>
      <c r="I62" t="s">
        <v>34</v>
      </c>
      <c r="J62" t="s">
        <v>33</v>
      </c>
      <c r="K62" t="s">
        <v>33</v>
      </c>
      <c r="L62">
        <v>10000</v>
      </c>
      <c r="M62">
        <v>10</v>
      </c>
      <c r="N62">
        <v>1000</v>
      </c>
      <c r="O62">
        <v>100</v>
      </c>
      <c r="P62">
        <v>100</v>
      </c>
      <c r="Q62" t="s">
        <v>33</v>
      </c>
      <c r="R62" t="s">
        <v>33</v>
      </c>
      <c r="S62" t="s">
        <v>33</v>
      </c>
      <c r="T62" t="s">
        <v>33</v>
      </c>
      <c r="U62" t="s">
        <v>33</v>
      </c>
      <c r="V62" t="s">
        <v>33</v>
      </c>
      <c r="W62" t="s">
        <v>33</v>
      </c>
      <c r="X62" t="s">
        <v>33</v>
      </c>
      <c r="Y62" t="s">
        <v>33</v>
      </c>
      <c r="Z62" t="s">
        <v>33</v>
      </c>
      <c r="AA62" t="s">
        <v>33</v>
      </c>
      <c r="AB62" t="s">
        <v>33</v>
      </c>
      <c r="AC62" t="s">
        <v>33</v>
      </c>
      <c r="AD62" t="s">
        <v>33</v>
      </c>
    </row>
    <row r="63" spans="1:30" x14ac:dyDescent="0.2">
      <c r="A63" t="s">
        <v>30</v>
      </c>
      <c r="B63" t="s">
        <v>1</v>
      </c>
      <c r="C63" t="s">
        <v>2</v>
      </c>
      <c r="D63" t="s">
        <v>51</v>
      </c>
      <c r="E63" t="s">
        <v>126</v>
      </c>
      <c r="F63" t="s">
        <v>1</v>
      </c>
      <c r="G63" t="s">
        <v>32</v>
      </c>
      <c r="I63" t="s">
        <v>35</v>
      </c>
      <c r="J63" t="s">
        <v>36</v>
      </c>
      <c r="K63" t="s">
        <v>37</v>
      </c>
      <c r="L63">
        <v>10000</v>
      </c>
      <c r="M63">
        <v>10</v>
      </c>
      <c r="N63">
        <v>1000</v>
      </c>
      <c r="O63">
        <v>100</v>
      </c>
      <c r="P63">
        <v>100</v>
      </c>
      <c r="Q63">
        <v>319735</v>
      </c>
      <c r="R63">
        <v>97806</v>
      </c>
      <c r="S63">
        <v>321096</v>
      </c>
      <c r="T63">
        <v>91654</v>
      </c>
      <c r="U63">
        <v>232545</v>
      </c>
      <c r="V63">
        <v>80780</v>
      </c>
      <c r="W63">
        <v>88199.99</v>
      </c>
      <c r="X63">
        <v>35287.480000000003</v>
      </c>
      <c r="Y63">
        <v>27.59</v>
      </c>
      <c r="Z63">
        <v>36.08</v>
      </c>
      <c r="AA63">
        <v>108517.42</v>
      </c>
      <c r="AB63">
        <v>35537.919999999998</v>
      </c>
      <c r="AC63">
        <v>33.799999999999997</v>
      </c>
      <c r="AD63">
        <v>38.770000000000003</v>
      </c>
    </row>
    <row r="64" spans="1:30" x14ac:dyDescent="0.2">
      <c r="A64" t="s">
        <v>30</v>
      </c>
      <c r="B64" t="s">
        <v>1</v>
      </c>
      <c r="C64" t="s">
        <v>2</v>
      </c>
      <c r="D64" t="s">
        <v>51</v>
      </c>
      <c r="E64" t="s">
        <v>126</v>
      </c>
      <c r="F64" t="s">
        <v>1</v>
      </c>
      <c r="G64" t="s">
        <v>32</v>
      </c>
      <c r="I64" t="s">
        <v>38</v>
      </c>
      <c r="J64" t="s">
        <v>36</v>
      </c>
      <c r="K64" t="s">
        <v>39</v>
      </c>
      <c r="L64">
        <v>5708</v>
      </c>
      <c r="M64">
        <v>10</v>
      </c>
      <c r="N64">
        <v>570.79999999999995</v>
      </c>
      <c r="O64">
        <v>57.08</v>
      </c>
      <c r="P64">
        <v>57.08</v>
      </c>
      <c r="Q64">
        <v>314445</v>
      </c>
      <c r="R64">
        <v>90</v>
      </c>
      <c r="S64">
        <v>313544</v>
      </c>
      <c r="T64">
        <v>89</v>
      </c>
      <c r="U64">
        <v>232567</v>
      </c>
      <c r="V64">
        <v>88</v>
      </c>
      <c r="W64">
        <v>86862.2</v>
      </c>
      <c r="X64">
        <v>7.37</v>
      </c>
      <c r="Y64">
        <v>27.62</v>
      </c>
      <c r="Z64">
        <v>8.2100000000000009</v>
      </c>
      <c r="AA64">
        <v>105054.07</v>
      </c>
      <c r="AB64">
        <v>7.41</v>
      </c>
      <c r="AC64">
        <v>33.51</v>
      </c>
      <c r="AD64">
        <v>8.33</v>
      </c>
    </row>
    <row r="65" spans="1:30" x14ac:dyDescent="0.2">
      <c r="A65" t="s">
        <v>30</v>
      </c>
      <c r="B65" t="s">
        <v>1</v>
      </c>
      <c r="C65" t="s">
        <v>2</v>
      </c>
      <c r="D65" t="s">
        <v>51</v>
      </c>
      <c r="E65" t="s">
        <v>126</v>
      </c>
      <c r="F65" t="s">
        <v>1</v>
      </c>
      <c r="G65" t="s">
        <v>32</v>
      </c>
      <c r="I65" t="s">
        <v>35</v>
      </c>
      <c r="J65" t="s">
        <v>36</v>
      </c>
      <c r="K65" t="s">
        <v>39</v>
      </c>
      <c r="L65">
        <v>10000</v>
      </c>
      <c r="M65">
        <v>10</v>
      </c>
      <c r="N65">
        <v>1000</v>
      </c>
      <c r="O65">
        <v>100</v>
      </c>
      <c r="P65">
        <v>100</v>
      </c>
      <c r="Q65">
        <v>319735</v>
      </c>
      <c r="R65">
        <v>95</v>
      </c>
      <c r="S65">
        <v>321096</v>
      </c>
      <c r="T65">
        <v>95</v>
      </c>
      <c r="U65">
        <v>232545</v>
      </c>
      <c r="V65">
        <v>95</v>
      </c>
      <c r="W65">
        <v>88199.99</v>
      </c>
      <c r="X65">
        <v>9.98</v>
      </c>
      <c r="Y65">
        <v>27.59</v>
      </c>
      <c r="Z65">
        <v>10.46</v>
      </c>
      <c r="AA65">
        <v>108517.42</v>
      </c>
      <c r="AB65">
        <v>10.38</v>
      </c>
      <c r="AC65">
        <v>33.799999999999997</v>
      </c>
      <c r="AD65">
        <v>10.92</v>
      </c>
    </row>
    <row r="66" spans="1:30" x14ac:dyDescent="0.2">
      <c r="A66" t="s">
        <v>30</v>
      </c>
      <c r="B66" t="s">
        <v>1</v>
      </c>
      <c r="C66" t="s">
        <v>2</v>
      </c>
      <c r="D66" t="s">
        <v>51</v>
      </c>
      <c r="E66" t="s">
        <v>126</v>
      </c>
      <c r="F66" t="s">
        <v>1</v>
      </c>
      <c r="G66" t="s">
        <v>32</v>
      </c>
      <c r="I66" t="s">
        <v>38</v>
      </c>
      <c r="J66" t="s">
        <v>40</v>
      </c>
      <c r="L66">
        <v>5708</v>
      </c>
      <c r="M66">
        <v>10</v>
      </c>
      <c r="N66">
        <v>570.79999999999995</v>
      </c>
      <c r="O66">
        <v>57.08</v>
      </c>
      <c r="P66">
        <v>57.08</v>
      </c>
      <c r="Q66">
        <v>435</v>
      </c>
      <c r="R66" t="s">
        <v>33</v>
      </c>
      <c r="S66">
        <v>355</v>
      </c>
      <c r="T66" t="s">
        <v>33</v>
      </c>
      <c r="U66">
        <v>309</v>
      </c>
      <c r="V66" t="s">
        <v>33</v>
      </c>
      <c r="W66">
        <v>415.11</v>
      </c>
      <c r="X66" t="s">
        <v>33</v>
      </c>
      <c r="Y66">
        <v>95.47</v>
      </c>
      <c r="Z66" t="s">
        <v>33</v>
      </c>
      <c r="AA66">
        <v>164.57</v>
      </c>
      <c r="AB66" t="s">
        <v>33</v>
      </c>
      <c r="AC66">
        <v>46.36</v>
      </c>
      <c r="AD66" t="s">
        <v>33</v>
      </c>
    </row>
    <row r="67" spans="1:30" x14ac:dyDescent="0.2">
      <c r="A67" t="s">
        <v>30</v>
      </c>
      <c r="B67" t="s">
        <v>1</v>
      </c>
      <c r="C67" t="s">
        <v>2</v>
      </c>
      <c r="D67" t="s">
        <v>51</v>
      </c>
      <c r="E67" t="s">
        <v>126</v>
      </c>
      <c r="F67" t="s">
        <v>1</v>
      </c>
      <c r="G67" t="s">
        <v>32</v>
      </c>
      <c r="I67" t="s">
        <v>38</v>
      </c>
      <c r="J67" t="s">
        <v>41</v>
      </c>
      <c r="L67">
        <v>5708</v>
      </c>
      <c r="M67">
        <v>10</v>
      </c>
      <c r="N67">
        <v>570.79999999999995</v>
      </c>
      <c r="O67">
        <v>57.08</v>
      </c>
      <c r="P67">
        <v>57.08</v>
      </c>
      <c r="Q67">
        <v>7054</v>
      </c>
      <c r="R67" t="s">
        <v>33</v>
      </c>
      <c r="S67">
        <v>6414</v>
      </c>
      <c r="T67" t="s">
        <v>33</v>
      </c>
      <c r="U67">
        <v>5600</v>
      </c>
      <c r="V67" t="s">
        <v>33</v>
      </c>
      <c r="W67">
        <v>3764.92</v>
      </c>
      <c r="X67" t="s">
        <v>33</v>
      </c>
      <c r="Y67">
        <v>53.37</v>
      </c>
      <c r="Z67" t="s">
        <v>33</v>
      </c>
      <c r="AA67">
        <v>3192.78</v>
      </c>
      <c r="AB67" t="s">
        <v>33</v>
      </c>
      <c r="AC67">
        <v>49.78</v>
      </c>
      <c r="AD67" t="s">
        <v>33</v>
      </c>
    </row>
    <row r="68" spans="1:30" x14ac:dyDescent="0.2">
      <c r="A68" t="s">
        <v>30</v>
      </c>
      <c r="B68" t="s">
        <v>1</v>
      </c>
      <c r="C68" t="s">
        <v>2</v>
      </c>
      <c r="D68" t="s">
        <v>52</v>
      </c>
      <c r="E68" t="s">
        <v>127</v>
      </c>
      <c r="F68" t="s">
        <v>1</v>
      </c>
      <c r="G68" t="s">
        <v>32</v>
      </c>
      <c r="H68" t="s">
        <v>33</v>
      </c>
      <c r="I68" t="s">
        <v>34</v>
      </c>
      <c r="J68" t="s">
        <v>33</v>
      </c>
      <c r="K68" t="s">
        <v>33</v>
      </c>
      <c r="L68">
        <v>10000</v>
      </c>
      <c r="M68">
        <v>12</v>
      </c>
      <c r="N68">
        <v>833.33299999999997</v>
      </c>
      <c r="O68">
        <v>100</v>
      </c>
      <c r="P68">
        <v>100</v>
      </c>
      <c r="Q68" t="s">
        <v>33</v>
      </c>
      <c r="R68" t="s">
        <v>33</v>
      </c>
      <c r="S68" t="s">
        <v>33</v>
      </c>
      <c r="T68" t="s">
        <v>33</v>
      </c>
      <c r="U68" t="s">
        <v>33</v>
      </c>
      <c r="V68" t="s">
        <v>33</v>
      </c>
      <c r="W68" t="s">
        <v>33</v>
      </c>
      <c r="X68" t="s">
        <v>33</v>
      </c>
      <c r="Y68" t="s">
        <v>33</v>
      </c>
      <c r="Z68" t="s">
        <v>33</v>
      </c>
      <c r="AA68" t="s">
        <v>33</v>
      </c>
      <c r="AB68" t="s">
        <v>33</v>
      </c>
      <c r="AC68" t="s">
        <v>33</v>
      </c>
      <c r="AD68" t="s">
        <v>33</v>
      </c>
    </row>
    <row r="69" spans="1:30" x14ac:dyDescent="0.2">
      <c r="A69" t="s">
        <v>30</v>
      </c>
      <c r="B69" t="s">
        <v>1</v>
      </c>
      <c r="C69" t="s">
        <v>2</v>
      </c>
      <c r="D69" t="s">
        <v>52</v>
      </c>
      <c r="E69" t="s">
        <v>127</v>
      </c>
      <c r="F69" t="s">
        <v>1</v>
      </c>
      <c r="G69" t="s">
        <v>32</v>
      </c>
      <c r="I69" t="s">
        <v>35</v>
      </c>
      <c r="J69" t="s">
        <v>36</v>
      </c>
      <c r="K69" t="s">
        <v>37</v>
      </c>
      <c r="L69">
        <v>10000</v>
      </c>
      <c r="M69">
        <v>12</v>
      </c>
      <c r="N69">
        <v>833.33299999999997</v>
      </c>
      <c r="O69">
        <v>100</v>
      </c>
      <c r="P69">
        <v>100</v>
      </c>
      <c r="Q69">
        <v>316956</v>
      </c>
      <c r="R69">
        <v>97727</v>
      </c>
      <c r="S69">
        <v>318030</v>
      </c>
      <c r="T69">
        <v>91204</v>
      </c>
      <c r="U69">
        <v>343081</v>
      </c>
      <c r="V69">
        <v>80981</v>
      </c>
      <c r="W69">
        <v>86905.53</v>
      </c>
      <c r="X69">
        <v>35262.18</v>
      </c>
      <c r="Y69">
        <v>27.42</v>
      </c>
      <c r="Z69">
        <v>36.08</v>
      </c>
      <c r="AA69">
        <v>106235.7</v>
      </c>
      <c r="AB69">
        <v>34398.54</v>
      </c>
      <c r="AC69">
        <v>33.4</v>
      </c>
      <c r="AD69">
        <v>37.72</v>
      </c>
    </row>
    <row r="70" spans="1:30" x14ac:dyDescent="0.2">
      <c r="A70" t="s">
        <v>30</v>
      </c>
      <c r="B70" t="s">
        <v>1</v>
      </c>
      <c r="C70" t="s">
        <v>2</v>
      </c>
      <c r="D70" t="s">
        <v>52</v>
      </c>
      <c r="E70" t="s">
        <v>127</v>
      </c>
      <c r="F70" t="s">
        <v>1</v>
      </c>
      <c r="G70" t="s">
        <v>32</v>
      </c>
      <c r="I70" t="s">
        <v>38</v>
      </c>
      <c r="J70" t="s">
        <v>36</v>
      </c>
      <c r="K70" t="s">
        <v>39</v>
      </c>
      <c r="L70">
        <v>5842</v>
      </c>
      <c r="M70">
        <v>12</v>
      </c>
      <c r="N70">
        <v>486.83300000000003</v>
      </c>
      <c r="O70">
        <v>58.42</v>
      </c>
      <c r="P70">
        <v>58.42</v>
      </c>
      <c r="Q70">
        <v>310048</v>
      </c>
      <c r="R70">
        <v>90</v>
      </c>
      <c r="S70">
        <v>307110</v>
      </c>
      <c r="T70">
        <v>89</v>
      </c>
      <c r="U70">
        <v>254977</v>
      </c>
      <c r="V70">
        <v>86</v>
      </c>
      <c r="W70">
        <v>85253.69</v>
      </c>
      <c r="X70">
        <v>7.23</v>
      </c>
      <c r="Y70">
        <v>27.5</v>
      </c>
      <c r="Z70">
        <v>8.0500000000000007</v>
      </c>
      <c r="AA70">
        <v>102622.6</v>
      </c>
      <c r="AB70">
        <v>7.41</v>
      </c>
      <c r="AC70">
        <v>33.42</v>
      </c>
      <c r="AD70">
        <v>8.33</v>
      </c>
    </row>
    <row r="71" spans="1:30" x14ac:dyDescent="0.2">
      <c r="A71" t="s">
        <v>30</v>
      </c>
      <c r="B71" t="s">
        <v>1</v>
      </c>
      <c r="C71" t="s">
        <v>2</v>
      </c>
      <c r="D71" t="s">
        <v>52</v>
      </c>
      <c r="E71" t="s">
        <v>127</v>
      </c>
      <c r="F71" t="s">
        <v>1</v>
      </c>
      <c r="G71" t="s">
        <v>32</v>
      </c>
      <c r="I71" t="s">
        <v>35</v>
      </c>
      <c r="J71" t="s">
        <v>36</v>
      </c>
      <c r="K71" t="s">
        <v>39</v>
      </c>
      <c r="L71">
        <v>10000</v>
      </c>
      <c r="M71">
        <v>12</v>
      </c>
      <c r="N71">
        <v>833.33299999999997</v>
      </c>
      <c r="O71">
        <v>100</v>
      </c>
      <c r="P71">
        <v>100</v>
      </c>
      <c r="Q71">
        <v>316956</v>
      </c>
      <c r="R71">
        <v>95</v>
      </c>
      <c r="S71">
        <v>318030</v>
      </c>
      <c r="T71">
        <v>95</v>
      </c>
      <c r="U71">
        <v>343081</v>
      </c>
      <c r="V71">
        <v>95</v>
      </c>
      <c r="W71">
        <v>86905.53</v>
      </c>
      <c r="X71">
        <v>9.82</v>
      </c>
      <c r="Y71">
        <v>27.42</v>
      </c>
      <c r="Z71">
        <v>10.32</v>
      </c>
      <c r="AA71">
        <v>106235.7</v>
      </c>
      <c r="AB71">
        <v>10.38</v>
      </c>
      <c r="AC71">
        <v>33.4</v>
      </c>
      <c r="AD71">
        <v>10.92</v>
      </c>
    </row>
    <row r="72" spans="1:30" x14ac:dyDescent="0.2">
      <c r="A72" t="s">
        <v>30</v>
      </c>
      <c r="B72" t="s">
        <v>1</v>
      </c>
      <c r="C72" t="s">
        <v>2</v>
      </c>
      <c r="D72" t="s">
        <v>52</v>
      </c>
      <c r="E72" t="s">
        <v>127</v>
      </c>
      <c r="F72" t="s">
        <v>1</v>
      </c>
      <c r="G72" t="s">
        <v>32</v>
      </c>
      <c r="I72" t="s">
        <v>38</v>
      </c>
      <c r="J72" t="s">
        <v>40</v>
      </c>
      <c r="L72">
        <v>5842</v>
      </c>
      <c r="M72">
        <v>12</v>
      </c>
      <c r="N72">
        <v>486.83300000000003</v>
      </c>
      <c r="O72">
        <v>58.42</v>
      </c>
      <c r="P72">
        <v>58.42</v>
      </c>
      <c r="Q72">
        <v>384</v>
      </c>
      <c r="R72" t="s">
        <v>33</v>
      </c>
      <c r="S72">
        <v>341</v>
      </c>
      <c r="T72" t="s">
        <v>33</v>
      </c>
      <c r="U72">
        <v>326</v>
      </c>
      <c r="V72" t="s">
        <v>33</v>
      </c>
      <c r="W72">
        <v>245.65</v>
      </c>
      <c r="X72" t="s">
        <v>33</v>
      </c>
      <c r="Y72">
        <v>63.98</v>
      </c>
      <c r="Z72" t="s">
        <v>33</v>
      </c>
      <c r="AA72">
        <v>155.66999999999999</v>
      </c>
      <c r="AB72" t="s">
        <v>33</v>
      </c>
      <c r="AC72">
        <v>45.65</v>
      </c>
      <c r="AD72" t="s">
        <v>33</v>
      </c>
    </row>
    <row r="73" spans="1:30" x14ac:dyDescent="0.2">
      <c r="A73" t="s">
        <v>30</v>
      </c>
      <c r="B73" t="s">
        <v>1</v>
      </c>
      <c r="C73" t="s">
        <v>2</v>
      </c>
      <c r="D73" t="s">
        <v>52</v>
      </c>
      <c r="E73" t="s">
        <v>127</v>
      </c>
      <c r="F73" t="s">
        <v>1</v>
      </c>
      <c r="G73" t="s">
        <v>32</v>
      </c>
      <c r="I73" t="s">
        <v>38</v>
      </c>
      <c r="J73" t="s">
        <v>41</v>
      </c>
      <c r="L73">
        <v>5842</v>
      </c>
      <c r="M73">
        <v>12</v>
      </c>
      <c r="N73">
        <v>486.83300000000003</v>
      </c>
      <c r="O73">
        <v>58.42</v>
      </c>
      <c r="P73">
        <v>58.42</v>
      </c>
      <c r="Q73">
        <v>6714</v>
      </c>
      <c r="R73" t="s">
        <v>33</v>
      </c>
      <c r="S73">
        <v>6120</v>
      </c>
      <c r="T73" t="s">
        <v>33</v>
      </c>
      <c r="U73">
        <v>5094</v>
      </c>
      <c r="V73" t="s">
        <v>33</v>
      </c>
      <c r="W73">
        <v>3358.44</v>
      </c>
      <c r="X73" t="s">
        <v>33</v>
      </c>
      <c r="Y73">
        <v>50.02</v>
      </c>
      <c r="Z73" t="s">
        <v>33</v>
      </c>
      <c r="AA73">
        <v>2887.36</v>
      </c>
      <c r="AB73" t="s">
        <v>33</v>
      </c>
      <c r="AC73">
        <v>47.18</v>
      </c>
      <c r="AD73" t="s">
        <v>33</v>
      </c>
    </row>
    <row r="74" spans="1:30" x14ac:dyDescent="0.2">
      <c r="A74" t="s">
        <v>30</v>
      </c>
      <c r="B74" t="s">
        <v>1</v>
      </c>
      <c r="C74" t="s">
        <v>2</v>
      </c>
      <c r="D74" t="s">
        <v>53</v>
      </c>
      <c r="E74" t="s">
        <v>128</v>
      </c>
      <c r="F74" t="s">
        <v>1</v>
      </c>
      <c r="G74" t="s">
        <v>32</v>
      </c>
      <c r="H74" t="s">
        <v>33</v>
      </c>
      <c r="I74" t="s">
        <v>34</v>
      </c>
      <c r="J74" t="s">
        <v>33</v>
      </c>
      <c r="K74" t="s">
        <v>33</v>
      </c>
      <c r="L74">
        <v>10000</v>
      </c>
      <c r="M74">
        <v>9</v>
      </c>
      <c r="N74">
        <v>1111.1110000000001</v>
      </c>
      <c r="O74">
        <v>100</v>
      </c>
      <c r="P74">
        <v>100</v>
      </c>
      <c r="Q74" t="s">
        <v>33</v>
      </c>
      <c r="R74" t="s">
        <v>33</v>
      </c>
      <c r="S74" t="s">
        <v>33</v>
      </c>
      <c r="T74" t="s">
        <v>33</v>
      </c>
      <c r="U74" t="s">
        <v>33</v>
      </c>
      <c r="V74" t="s">
        <v>33</v>
      </c>
      <c r="W74" t="s">
        <v>33</v>
      </c>
      <c r="X74" t="s">
        <v>33</v>
      </c>
      <c r="Y74" t="s">
        <v>33</v>
      </c>
      <c r="Z74" t="s">
        <v>33</v>
      </c>
      <c r="AA74" t="s">
        <v>33</v>
      </c>
      <c r="AB74" t="s">
        <v>33</v>
      </c>
      <c r="AC74" t="s">
        <v>33</v>
      </c>
      <c r="AD74" t="s">
        <v>33</v>
      </c>
    </row>
    <row r="75" spans="1:30" x14ac:dyDescent="0.2">
      <c r="A75" t="s">
        <v>30</v>
      </c>
      <c r="B75" t="s">
        <v>1</v>
      </c>
      <c r="C75" t="s">
        <v>2</v>
      </c>
      <c r="D75" t="s">
        <v>53</v>
      </c>
      <c r="E75" t="s">
        <v>128</v>
      </c>
      <c r="F75" t="s">
        <v>1</v>
      </c>
      <c r="G75" t="s">
        <v>32</v>
      </c>
      <c r="I75" t="s">
        <v>35</v>
      </c>
      <c r="J75" t="s">
        <v>36</v>
      </c>
      <c r="K75" t="s">
        <v>37</v>
      </c>
      <c r="L75">
        <v>10000</v>
      </c>
      <c r="M75">
        <v>9</v>
      </c>
      <c r="N75">
        <v>1111.1110000000001</v>
      </c>
      <c r="O75">
        <v>100</v>
      </c>
      <c r="P75">
        <v>100</v>
      </c>
      <c r="Q75">
        <v>317675</v>
      </c>
      <c r="R75">
        <v>97450</v>
      </c>
      <c r="S75">
        <v>318101</v>
      </c>
      <c r="T75">
        <v>90930</v>
      </c>
      <c r="U75">
        <v>334877</v>
      </c>
      <c r="V75">
        <v>74614</v>
      </c>
      <c r="W75">
        <v>86546.17</v>
      </c>
      <c r="X75">
        <v>35401.49</v>
      </c>
      <c r="Y75">
        <v>27.24</v>
      </c>
      <c r="Z75">
        <v>36.33</v>
      </c>
      <c r="AA75">
        <v>103451.38</v>
      </c>
      <c r="AB75">
        <v>34478.6</v>
      </c>
      <c r="AC75">
        <v>32.520000000000003</v>
      </c>
      <c r="AD75">
        <v>37.92</v>
      </c>
    </row>
    <row r="76" spans="1:30" x14ac:dyDescent="0.2">
      <c r="A76" t="s">
        <v>30</v>
      </c>
      <c r="B76" t="s">
        <v>1</v>
      </c>
      <c r="C76" t="s">
        <v>2</v>
      </c>
      <c r="D76" t="s">
        <v>53</v>
      </c>
      <c r="E76" t="s">
        <v>128</v>
      </c>
      <c r="F76" t="s">
        <v>1</v>
      </c>
      <c r="G76" t="s">
        <v>32</v>
      </c>
      <c r="I76" t="s">
        <v>38</v>
      </c>
      <c r="J76" t="s">
        <v>36</v>
      </c>
      <c r="K76" t="s">
        <v>39</v>
      </c>
      <c r="L76">
        <v>4972</v>
      </c>
      <c r="M76">
        <v>9</v>
      </c>
      <c r="N76">
        <v>552.44399999999996</v>
      </c>
      <c r="O76">
        <v>49.72</v>
      </c>
      <c r="P76">
        <v>49.72</v>
      </c>
      <c r="Q76">
        <v>320603</v>
      </c>
      <c r="R76">
        <v>89</v>
      </c>
      <c r="S76">
        <v>321198</v>
      </c>
      <c r="T76">
        <v>89</v>
      </c>
      <c r="U76">
        <v>365758</v>
      </c>
      <c r="V76">
        <v>89</v>
      </c>
      <c r="W76">
        <v>85380.41</v>
      </c>
      <c r="X76">
        <v>7.35</v>
      </c>
      <c r="Y76">
        <v>26.63</v>
      </c>
      <c r="Z76">
        <v>8.25</v>
      </c>
      <c r="AA76">
        <v>99718.93</v>
      </c>
      <c r="AB76">
        <v>8.9</v>
      </c>
      <c r="AC76">
        <v>31.05</v>
      </c>
      <c r="AD76">
        <v>10</v>
      </c>
    </row>
    <row r="77" spans="1:30" x14ac:dyDescent="0.2">
      <c r="A77" t="s">
        <v>30</v>
      </c>
      <c r="B77" t="s">
        <v>1</v>
      </c>
      <c r="C77" t="s">
        <v>2</v>
      </c>
      <c r="D77" t="s">
        <v>53</v>
      </c>
      <c r="E77" t="s">
        <v>128</v>
      </c>
      <c r="F77" t="s">
        <v>1</v>
      </c>
      <c r="G77" t="s">
        <v>32</v>
      </c>
      <c r="I77" t="s">
        <v>35</v>
      </c>
      <c r="J77" t="s">
        <v>36</v>
      </c>
      <c r="K77" t="s">
        <v>39</v>
      </c>
      <c r="L77">
        <v>10000</v>
      </c>
      <c r="M77">
        <v>9</v>
      </c>
      <c r="N77">
        <v>1111.1110000000001</v>
      </c>
      <c r="O77">
        <v>100</v>
      </c>
      <c r="P77">
        <v>100</v>
      </c>
      <c r="Q77">
        <v>317675</v>
      </c>
      <c r="R77">
        <v>95</v>
      </c>
      <c r="S77">
        <v>318101</v>
      </c>
      <c r="T77">
        <v>95</v>
      </c>
      <c r="U77">
        <v>334877</v>
      </c>
      <c r="V77">
        <v>98</v>
      </c>
      <c r="W77">
        <v>86546.17</v>
      </c>
      <c r="X77">
        <v>9.92</v>
      </c>
      <c r="Y77">
        <v>27.24</v>
      </c>
      <c r="Z77">
        <v>10.4</v>
      </c>
      <c r="AA77">
        <v>103451.38</v>
      </c>
      <c r="AB77">
        <v>10.38</v>
      </c>
      <c r="AC77">
        <v>32.520000000000003</v>
      </c>
      <c r="AD77">
        <v>10.92</v>
      </c>
    </row>
    <row r="78" spans="1:30" x14ac:dyDescent="0.2">
      <c r="A78" t="s">
        <v>30</v>
      </c>
      <c r="B78" t="s">
        <v>1</v>
      </c>
      <c r="C78" t="s">
        <v>2</v>
      </c>
      <c r="D78" t="s">
        <v>53</v>
      </c>
      <c r="E78" t="s">
        <v>128</v>
      </c>
      <c r="F78" t="s">
        <v>1</v>
      </c>
      <c r="G78" t="s">
        <v>32</v>
      </c>
      <c r="I78" t="s">
        <v>38</v>
      </c>
      <c r="J78" t="s">
        <v>40</v>
      </c>
      <c r="L78">
        <v>4972</v>
      </c>
      <c r="M78">
        <v>9</v>
      </c>
      <c r="N78">
        <v>552.44399999999996</v>
      </c>
      <c r="O78">
        <v>49.72</v>
      </c>
      <c r="P78">
        <v>49.72</v>
      </c>
      <c r="Q78">
        <v>377</v>
      </c>
      <c r="R78" t="s">
        <v>33</v>
      </c>
      <c r="S78">
        <v>343</v>
      </c>
      <c r="T78" t="s">
        <v>33</v>
      </c>
      <c r="U78">
        <v>399</v>
      </c>
      <c r="V78" t="s">
        <v>33</v>
      </c>
      <c r="W78">
        <v>205.03</v>
      </c>
      <c r="X78" t="s">
        <v>33</v>
      </c>
      <c r="Y78">
        <v>54.32</v>
      </c>
      <c r="Z78" t="s">
        <v>33</v>
      </c>
      <c r="AA78">
        <v>154.19</v>
      </c>
      <c r="AB78" t="s">
        <v>33</v>
      </c>
      <c r="AC78">
        <v>44.95</v>
      </c>
      <c r="AD78" t="s">
        <v>33</v>
      </c>
    </row>
    <row r="79" spans="1:30" x14ac:dyDescent="0.2">
      <c r="A79" t="s">
        <v>30</v>
      </c>
      <c r="B79" t="s">
        <v>1</v>
      </c>
      <c r="C79" t="s">
        <v>2</v>
      </c>
      <c r="D79" t="s">
        <v>53</v>
      </c>
      <c r="E79" t="s">
        <v>128</v>
      </c>
      <c r="F79" t="s">
        <v>1</v>
      </c>
      <c r="G79" t="s">
        <v>32</v>
      </c>
      <c r="I79" t="s">
        <v>38</v>
      </c>
      <c r="J79" t="s">
        <v>41</v>
      </c>
      <c r="L79">
        <v>4972</v>
      </c>
      <c r="M79">
        <v>9</v>
      </c>
      <c r="N79">
        <v>552.44399999999996</v>
      </c>
      <c r="O79">
        <v>49.72</v>
      </c>
      <c r="P79">
        <v>49.72</v>
      </c>
      <c r="Q79">
        <v>6695</v>
      </c>
      <c r="R79" t="s">
        <v>33</v>
      </c>
      <c r="S79">
        <v>6187</v>
      </c>
      <c r="T79" t="s">
        <v>33</v>
      </c>
      <c r="U79">
        <v>5990</v>
      </c>
      <c r="V79" t="s">
        <v>33</v>
      </c>
      <c r="W79">
        <v>3218.02</v>
      </c>
      <c r="X79" t="s">
        <v>33</v>
      </c>
      <c r="Y79">
        <v>48.07</v>
      </c>
      <c r="Z79" t="s">
        <v>33</v>
      </c>
      <c r="AA79">
        <v>2917.02</v>
      </c>
      <c r="AB79" t="s">
        <v>33</v>
      </c>
      <c r="AC79">
        <v>47.15</v>
      </c>
      <c r="AD79" t="s">
        <v>33</v>
      </c>
    </row>
    <row r="80" spans="1:30" x14ac:dyDescent="0.2">
      <c r="A80" t="s">
        <v>30</v>
      </c>
      <c r="B80" t="s">
        <v>1</v>
      </c>
      <c r="C80" t="s">
        <v>2</v>
      </c>
      <c r="D80" t="s">
        <v>54</v>
      </c>
      <c r="E80" t="s">
        <v>129</v>
      </c>
      <c r="F80" t="s">
        <v>1</v>
      </c>
      <c r="G80" t="s">
        <v>32</v>
      </c>
      <c r="H80" t="s">
        <v>33</v>
      </c>
      <c r="I80" t="s">
        <v>34</v>
      </c>
      <c r="J80" t="s">
        <v>33</v>
      </c>
      <c r="K80" t="s">
        <v>33</v>
      </c>
      <c r="L80">
        <v>10000</v>
      </c>
      <c r="M80">
        <v>4</v>
      </c>
      <c r="N80">
        <v>2500</v>
      </c>
      <c r="O80">
        <v>100</v>
      </c>
      <c r="P80">
        <v>100</v>
      </c>
      <c r="Q80" t="s">
        <v>33</v>
      </c>
      <c r="R80" t="s">
        <v>33</v>
      </c>
      <c r="S80" t="s">
        <v>33</v>
      </c>
      <c r="T80" t="s">
        <v>33</v>
      </c>
      <c r="U80" t="s">
        <v>33</v>
      </c>
      <c r="V80" t="s">
        <v>33</v>
      </c>
      <c r="W80" t="s">
        <v>33</v>
      </c>
      <c r="X80" t="s">
        <v>33</v>
      </c>
      <c r="Y80" t="s">
        <v>33</v>
      </c>
      <c r="Z80" t="s">
        <v>33</v>
      </c>
      <c r="AA80" t="s">
        <v>33</v>
      </c>
      <c r="AB80" t="s">
        <v>33</v>
      </c>
      <c r="AC80" t="s">
        <v>33</v>
      </c>
      <c r="AD80" t="s">
        <v>33</v>
      </c>
    </row>
    <row r="81" spans="1:30" x14ac:dyDescent="0.2">
      <c r="A81" t="s">
        <v>30</v>
      </c>
      <c r="B81" t="s">
        <v>1</v>
      </c>
      <c r="C81" t="s">
        <v>2</v>
      </c>
      <c r="D81" t="s">
        <v>54</v>
      </c>
      <c r="E81" t="s">
        <v>129</v>
      </c>
      <c r="F81" t="s">
        <v>1</v>
      </c>
      <c r="G81" t="s">
        <v>32</v>
      </c>
      <c r="I81" t="s">
        <v>35</v>
      </c>
      <c r="J81" t="s">
        <v>36</v>
      </c>
      <c r="K81" t="s">
        <v>37</v>
      </c>
      <c r="L81">
        <v>10000</v>
      </c>
      <c r="M81">
        <v>4</v>
      </c>
      <c r="N81">
        <v>2500</v>
      </c>
      <c r="O81">
        <v>100</v>
      </c>
      <c r="P81">
        <v>100</v>
      </c>
      <c r="Q81">
        <v>337773</v>
      </c>
      <c r="R81">
        <v>93883</v>
      </c>
      <c r="S81">
        <v>341081</v>
      </c>
      <c r="T81">
        <v>89732</v>
      </c>
      <c r="U81">
        <v>359336</v>
      </c>
      <c r="V81">
        <v>87115</v>
      </c>
      <c r="W81">
        <v>84844.63</v>
      </c>
      <c r="X81">
        <v>31558.240000000002</v>
      </c>
      <c r="Y81">
        <v>25.12</v>
      </c>
      <c r="Z81">
        <v>33.61</v>
      </c>
      <c r="AA81">
        <v>103540.33</v>
      </c>
      <c r="AB81">
        <v>29900.33</v>
      </c>
      <c r="AC81">
        <v>30.36</v>
      </c>
      <c r="AD81">
        <v>33.32</v>
      </c>
    </row>
    <row r="82" spans="1:30" x14ac:dyDescent="0.2">
      <c r="A82" t="s">
        <v>30</v>
      </c>
      <c r="B82" t="s">
        <v>1</v>
      </c>
      <c r="C82" t="s">
        <v>2</v>
      </c>
      <c r="D82" t="s">
        <v>54</v>
      </c>
      <c r="E82" t="s">
        <v>129</v>
      </c>
      <c r="F82" t="s">
        <v>1</v>
      </c>
      <c r="G82" t="s">
        <v>32</v>
      </c>
      <c r="I82" t="s">
        <v>38</v>
      </c>
      <c r="J82" t="s">
        <v>36</v>
      </c>
      <c r="K82" t="s">
        <v>39</v>
      </c>
      <c r="L82">
        <v>5771</v>
      </c>
      <c r="M82">
        <v>4</v>
      </c>
      <c r="N82">
        <v>1442.75</v>
      </c>
      <c r="O82">
        <v>57.71</v>
      </c>
      <c r="P82">
        <v>57.71</v>
      </c>
      <c r="Q82">
        <v>334745</v>
      </c>
      <c r="R82">
        <v>90</v>
      </c>
      <c r="S82">
        <v>337110</v>
      </c>
      <c r="T82">
        <v>90</v>
      </c>
      <c r="U82">
        <v>381906</v>
      </c>
      <c r="V82">
        <v>88</v>
      </c>
      <c r="W82">
        <v>85176.03</v>
      </c>
      <c r="X82">
        <v>7.19</v>
      </c>
      <c r="Y82">
        <v>25.45</v>
      </c>
      <c r="Z82">
        <v>7.94</v>
      </c>
      <c r="AA82">
        <v>104082.97</v>
      </c>
      <c r="AB82">
        <v>7.41</v>
      </c>
      <c r="AC82">
        <v>30.88</v>
      </c>
      <c r="AD82">
        <v>8.24</v>
      </c>
    </row>
    <row r="83" spans="1:30" x14ac:dyDescent="0.2">
      <c r="A83" t="s">
        <v>30</v>
      </c>
      <c r="B83" t="s">
        <v>1</v>
      </c>
      <c r="C83" t="s">
        <v>2</v>
      </c>
      <c r="D83" t="s">
        <v>54</v>
      </c>
      <c r="E83" t="s">
        <v>129</v>
      </c>
      <c r="F83" t="s">
        <v>1</v>
      </c>
      <c r="G83" t="s">
        <v>32</v>
      </c>
      <c r="I83" t="s">
        <v>35</v>
      </c>
      <c r="J83" t="s">
        <v>36</v>
      </c>
      <c r="K83" t="s">
        <v>39</v>
      </c>
      <c r="L83">
        <v>10000</v>
      </c>
      <c r="M83">
        <v>4</v>
      </c>
      <c r="N83">
        <v>2500</v>
      </c>
      <c r="O83">
        <v>100</v>
      </c>
      <c r="P83">
        <v>100</v>
      </c>
      <c r="Q83">
        <v>337773</v>
      </c>
      <c r="R83">
        <v>96</v>
      </c>
      <c r="S83">
        <v>341081</v>
      </c>
      <c r="T83">
        <v>96</v>
      </c>
      <c r="U83">
        <v>359336</v>
      </c>
      <c r="V83">
        <v>96</v>
      </c>
      <c r="W83">
        <v>84844.63</v>
      </c>
      <c r="X83">
        <v>9.7200000000000006</v>
      </c>
      <c r="Y83">
        <v>25.12</v>
      </c>
      <c r="Z83">
        <v>10.11</v>
      </c>
      <c r="AA83">
        <v>103540.33</v>
      </c>
      <c r="AB83">
        <v>10.38</v>
      </c>
      <c r="AC83">
        <v>30.36</v>
      </c>
      <c r="AD83">
        <v>10.81</v>
      </c>
    </row>
    <row r="84" spans="1:30" x14ac:dyDescent="0.2">
      <c r="A84" t="s">
        <v>30</v>
      </c>
      <c r="B84" t="s">
        <v>1</v>
      </c>
      <c r="C84" t="s">
        <v>2</v>
      </c>
      <c r="D84" t="s">
        <v>54</v>
      </c>
      <c r="E84" t="s">
        <v>129</v>
      </c>
      <c r="F84" t="s">
        <v>1</v>
      </c>
      <c r="G84" t="s">
        <v>32</v>
      </c>
      <c r="I84" t="s">
        <v>38</v>
      </c>
      <c r="J84" t="s">
        <v>40</v>
      </c>
      <c r="L84">
        <v>5771</v>
      </c>
      <c r="M84">
        <v>4</v>
      </c>
      <c r="N84">
        <v>1442.75</v>
      </c>
      <c r="O84">
        <v>57.71</v>
      </c>
      <c r="P84">
        <v>57.71</v>
      </c>
      <c r="Q84">
        <v>168</v>
      </c>
      <c r="R84" t="s">
        <v>33</v>
      </c>
      <c r="S84">
        <v>155</v>
      </c>
      <c r="T84" t="s">
        <v>33</v>
      </c>
      <c r="U84">
        <v>168</v>
      </c>
      <c r="V84" t="s">
        <v>33</v>
      </c>
      <c r="W84">
        <v>72.790000000000006</v>
      </c>
      <c r="X84" t="s">
        <v>33</v>
      </c>
      <c r="Y84">
        <v>43.45</v>
      </c>
      <c r="Z84" t="s">
        <v>33</v>
      </c>
      <c r="AA84">
        <v>65.23</v>
      </c>
      <c r="AB84" t="s">
        <v>33</v>
      </c>
      <c r="AC84">
        <v>42.09</v>
      </c>
      <c r="AD84" t="s">
        <v>33</v>
      </c>
    </row>
    <row r="85" spans="1:30" x14ac:dyDescent="0.2">
      <c r="A85" t="s">
        <v>30</v>
      </c>
      <c r="B85" t="s">
        <v>1</v>
      </c>
      <c r="C85" t="s">
        <v>2</v>
      </c>
      <c r="D85" t="s">
        <v>54</v>
      </c>
      <c r="E85" t="s">
        <v>129</v>
      </c>
      <c r="F85" t="s">
        <v>1</v>
      </c>
      <c r="G85" t="s">
        <v>32</v>
      </c>
      <c r="I85" t="s">
        <v>38</v>
      </c>
      <c r="J85" t="s">
        <v>41</v>
      </c>
      <c r="L85">
        <v>5771</v>
      </c>
      <c r="M85">
        <v>4</v>
      </c>
      <c r="N85">
        <v>1442.75</v>
      </c>
      <c r="O85">
        <v>57.71</v>
      </c>
      <c r="P85">
        <v>57.71</v>
      </c>
      <c r="Q85">
        <v>76</v>
      </c>
      <c r="R85" t="s">
        <v>33</v>
      </c>
      <c r="S85">
        <v>69</v>
      </c>
      <c r="T85" t="s">
        <v>33</v>
      </c>
      <c r="U85">
        <v>87</v>
      </c>
      <c r="V85" t="s">
        <v>33</v>
      </c>
      <c r="W85">
        <v>94.8</v>
      </c>
      <c r="X85" t="s">
        <v>33</v>
      </c>
      <c r="Y85">
        <v>124.2</v>
      </c>
      <c r="Z85" t="s">
        <v>33</v>
      </c>
      <c r="AA85">
        <v>26.69</v>
      </c>
      <c r="AB85" t="s">
        <v>33</v>
      </c>
      <c r="AC85">
        <v>38.68</v>
      </c>
      <c r="AD85" t="s">
        <v>33</v>
      </c>
    </row>
    <row r="86" spans="1:30" x14ac:dyDescent="0.2">
      <c r="A86" t="s">
        <v>30</v>
      </c>
      <c r="B86" t="s">
        <v>1</v>
      </c>
      <c r="C86" t="s">
        <v>2</v>
      </c>
      <c r="D86" t="s">
        <v>55</v>
      </c>
      <c r="E86" t="s">
        <v>130</v>
      </c>
      <c r="F86" t="s">
        <v>1</v>
      </c>
      <c r="G86" t="s">
        <v>32</v>
      </c>
      <c r="H86" t="s">
        <v>33</v>
      </c>
      <c r="I86" t="s">
        <v>34</v>
      </c>
      <c r="J86" t="s">
        <v>33</v>
      </c>
      <c r="K86" t="s">
        <v>33</v>
      </c>
      <c r="L86">
        <v>10000</v>
      </c>
      <c r="M86">
        <v>10</v>
      </c>
      <c r="N86">
        <v>1000</v>
      </c>
      <c r="O86">
        <v>100</v>
      </c>
      <c r="P86">
        <v>100</v>
      </c>
      <c r="Q86" t="s">
        <v>33</v>
      </c>
      <c r="R86" t="s">
        <v>33</v>
      </c>
      <c r="S86" t="s">
        <v>33</v>
      </c>
      <c r="T86" t="s">
        <v>33</v>
      </c>
      <c r="U86" t="s">
        <v>33</v>
      </c>
      <c r="V86" t="s">
        <v>33</v>
      </c>
      <c r="W86" t="s">
        <v>33</v>
      </c>
      <c r="X86" t="s">
        <v>33</v>
      </c>
      <c r="Y86" t="s">
        <v>33</v>
      </c>
      <c r="Z86" t="s">
        <v>33</v>
      </c>
      <c r="AA86" t="s">
        <v>33</v>
      </c>
      <c r="AB86" t="s">
        <v>33</v>
      </c>
      <c r="AC86" t="s">
        <v>33</v>
      </c>
      <c r="AD86" t="s">
        <v>33</v>
      </c>
    </row>
    <row r="87" spans="1:30" x14ac:dyDescent="0.2">
      <c r="A87" t="s">
        <v>30</v>
      </c>
      <c r="B87" t="s">
        <v>1</v>
      </c>
      <c r="C87" t="s">
        <v>2</v>
      </c>
      <c r="D87" t="s">
        <v>55</v>
      </c>
      <c r="E87" t="s">
        <v>130</v>
      </c>
      <c r="F87" t="s">
        <v>1</v>
      </c>
      <c r="G87" t="s">
        <v>32</v>
      </c>
      <c r="I87" t="s">
        <v>35</v>
      </c>
      <c r="J87" t="s">
        <v>36</v>
      </c>
      <c r="K87" t="s">
        <v>37</v>
      </c>
      <c r="L87">
        <v>10000</v>
      </c>
      <c r="M87">
        <v>10</v>
      </c>
      <c r="N87">
        <v>1000</v>
      </c>
      <c r="O87">
        <v>100</v>
      </c>
      <c r="P87">
        <v>100</v>
      </c>
      <c r="Q87">
        <v>333496</v>
      </c>
      <c r="R87">
        <v>96846</v>
      </c>
      <c r="S87">
        <v>335053</v>
      </c>
      <c r="T87">
        <v>92142</v>
      </c>
      <c r="U87">
        <v>300157</v>
      </c>
      <c r="V87">
        <v>76690</v>
      </c>
      <c r="W87">
        <v>82005.009999999995</v>
      </c>
      <c r="X87">
        <v>32510.04</v>
      </c>
      <c r="Y87">
        <v>24.59</v>
      </c>
      <c r="Z87">
        <v>33.57</v>
      </c>
      <c r="AA87">
        <v>99414.26</v>
      </c>
      <c r="AB87">
        <v>32454.11</v>
      </c>
      <c r="AC87">
        <v>29.67</v>
      </c>
      <c r="AD87">
        <v>35.22</v>
      </c>
    </row>
    <row r="88" spans="1:30" x14ac:dyDescent="0.2">
      <c r="A88" t="s">
        <v>30</v>
      </c>
      <c r="B88" t="s">
        <v>1</v>
      </c>
      <c r="C88" t="s">
        <v>2</v>
      </c>
      <c r="D88" t="s">
        <v>55</v>
      </c>
      <c r="E88" t="s">
        <v>130</v>
      </c>
      <c r="F88" t="s">
        <v>1</v>
      </c>
      <c r="G88" t="s">
        <v>32</v>
      </c>
      <c r="I88" t="s">
        <v>38</v>
      </c>
      <c r="J88" t="s">
        <v>36</v>
      </c>
      <c r="K88" t="s">
        <v>39</v>
      </c>
      <c r="L88">
        <v>5872</v>
      </c>
      <c r="M88">
        <v>10</v>
      </c>
      <c r="N88">
        <v>587.20000000000005</v>
      </c>
      <c r="O88">
        <v>58.72</v>
      </c>
      <c r="P88">
        <v>58.72</v>
      </c>
      <c r="Q88">
        <v>329240</v>
      </c>
      <c r="R88">
        <v>91</v>
      </c>
      <c r="S88">
        <v>328359</v>
      </c>
      <c r="T88">
        <v>91</v>
      </c>
      <c r="U88">
        <v>240587</v>
      </c>
      <c r="V88">
        <v>87</v>
      </c>
      <c r="W88">
        <v>80750.59</v>
      </c>
      <c r="X88">
        <v>7.01</v>
      </c>
      <c r="Y88">
        <v>24.53</v>
      </c>
      <c r="Z88">
        <v>7.71</v>
      </c>
      <c r="AA88">
        <v>97739.66</v>
      </c>
      <c r="AB88">
        <v>7.41</v>
      </c>
      <c r="AC88">
        <v>29.77</v>
      </c>
      <c r="AD88">
        <v>8.15</v>
      </c>
    </row>
    <row r="89" spans="1:30" x14ac:dyDescent="0.2">
      <c r="A89" t="s">
        <v>30</v>
      </c>
      <c r="B89" t="s">
        <v>1</v>
      </c>
      <c r="C89" t="s">
        <v>2</v>
      </c>
      <c r="D89" t="s">
        <v>55</v>
      </c>
      <c r="E89" t="s">
        <v>130</v>
      </c>
      <c r="F89" t="s">
        <v>1</v>
      </c>
      <c r="G89" t="s">
        <v>32</v>
      </c>
      <c r="I89" t="s">
        <v>35</v>
      </c>
      <c r="J89" t="s">
        <v>36</v>
      </c>
      <c r="K89" t="s">
        <v>39</v>
      </c>
      <c r="L89">
        <v>10000</v>
      </c>
      <c r="M89">
        <v>10</v>
      </c>
      <c r="N89">
        <v>1000</v>
      </c>
      <c r="O89">
        <v>100</v>
      </c>
      <c r="P89">
        <v>100</v>
      </c>
      <c r="Q89">
        <v>333496</v>
      </c>
      <c r="R89">
        <v>96</v>
      </c>
      <c r="S89">
        <v>335053</v>
      </c>
      <c r="T89">
        <v>96</v>
      </c>
      <c r="U89">
        <v>300157</v>
      </c>
      <c r="V89">
        <v>95</v>
      </c>
      <c r="W89">
        <v>82005.009999999995</v>
      </c>
      <c r="X89">
        <v>9.41</v>
      </c>
      <c r="Y89">
        <v>24.59</v>
      </c>
      <c r="Z89">
        <v>9.77</v>
      </c>
      <c r="AA89">
        <v>99414.26</v>
      </c>
      <c r="AB89">
        <v>10.38</v>
      </c>
      <c r="AC89">
        <v>29.67</v>
      </c>
      <c r="AD89">
        <v>10.81</v>
      </c>
    </row>
    <row r="90" spans="1:30" x14ac:dyDescent="0.2">
      <c r="A90" t="s">
        <v>30</v>
      </c>
      <c r="B90" t="s">
        <v>1</v>
      </c>
      <c r="C90" t="s">
        <v>2</v>
      </c>
      <c r="D90" t="s">
        <v>55</v>
      </c>
      <c r="E90" t="s">
        <v>130</v>
      </c>
      <c r="F90" t="s">
        <v>1</v>
      </c>
      <c r="G90" t="s">
        <v>32</v>
      </c>
      <c r="I90" t="s">
        <v>38</v>
      </c>
      <c r="J90" t="s">
        <v>40</v>
      </c>
      <c r="L90">
        <v>5872</v>
      </c>
      <c r="M90">
        <v>10</v>
      </c>
      <c r="N90">
        <v>587.20000000000005</v>
      </c>
      <c r="O90">
        <v>58.72</v>
      </c>
      <c r="P90">
        <v>58.72</v>
      </c>
      <c r="Q90">
        <v>375</v>
      </c>
      <c r="R90" t="s">
        <v>33</v>
      </c>
      <c r="S90">
        <v>354</v>
      </c>
      <c r="T90" t="s">
        <v>33</v>
      </c>
      <c r="U90">
        <v>374</v>
      </c>
      <c r="V90" t="s">
        <v>33</v>
      </c>
      <c r="W90">
        <v>155.05000000000001</v>
      </c>
      <c r="X90" t="s">
        <v>33</v>
      </c>
      <c r="Y90">
        <v>41.33</v>
      </c>
      <c r="Z90" t="s">
        <v>33</v>
      </c>
      <c r="AA90">
        <v>146.78</v>
      </c>
      <c r="AB90" t="s">
        <v>33</v>
      </c>
      <c r="AC90">
        <v>41.46</v>
      </c>
      <c r="AD90" t="s">
        <v>33</v>
      </c>
    </row>
    <row r="91" spans="1:30" x14ac:dyDescent="0.2">
      <c r="A91" t="s">
        <v>30</v>
      </c>
      <c r="B91" t="s">
        <v>1</v>
      </c>
      <c r="C91" t="s">
        <v>2</v>
      </c>
      <c r="D91" t="s">
        <v>55</v>
      </c>
      <c r="E91" t="s">
        <v>130</v>
      </c>
      <c r="F91" t="s">
        <v>1</v>
      </c>
      <c r="G91" t="s">
        <v>32</v>
      </c>
      <c r="I91" t="s">
        <v>38</v>
      </c>
      <c r="J91" t="s">
        <v>41</v>
      </c>
      <c r="L91">
        <v>5872</v>
      </c>
      <c r="M91">
        <v>10</v>
      </c>
      <c r="N91">
        <v>587.20000000000005</v>
      </c>
      <c r="O91">
        <v>58.72</v>
      </c>
      <c r="P91">
        <v>58.72</v>
      </c>
      <c r="Q91">
        <v>10647</v>
      </c>
      <c r="R91" t="s">
        <v>33</v>
      </c>
      <c r="S91">
        <v>9747</v>
      </c>
      <c r="T91" t="s">
        <v>33</v>
      </c>
      <c r="U91">
        <v>9744</v>
      </c>
      <c r="V91" t="s">
        <v>33</v>
      </c>
      <c r="W91">
        <v>4968.83</v>
      </c>
      <c r="X91" t="s">
        <v>33</v>
      </c>
      <c r="Y91">
        <v>46.67</v>
      </c>
      <c r="Z91" t="s">
        <v>33</v>
      </c>
      <c r="AA91">
        <v>4145.3500000000004</v>
      </c>
      <c r="AB91" t="s">
        <v>33</v>
      </c>
      <c r="AC91">
        <v>42.53</v>
      </c>
      <c r="AD91" t="s">
        <v>33</v>
      </c>
    </row>
    <row r="92" spans="1:30" x14ac:dyDescent="0.2">
      <c r="A92" t="s">
        <v>30</v>
      </c>
      <c r="B92" t="s">
        <v>1</v>
      </c>
      <c r="C92" t="s">
        <v>2</v>
      </c>
      <c r="D92" t="s">
        <v>56</v>
      </c>
      <c r="E92" t="s">
        <v>131</v>
      </c>
      <c r="F92" t="s">
        <v>1</v>
      </c>
      <c r="G92" t="s">
        <v>32</v>
      </c>
      <c r="H92" t="s">
        <v>33</v>
      </c>
      <c r="I92" t="s">
        <v>34</v>
      </c>
      <c r="J92" t="s">
        <v>33</v>
      </c>
      <c r="K92" t="s">
        <v>33</v>
      </c>
      <c r="L92">
        <v>10000</v>
      </c>
      <c r="M92">
        <v>7</v>
      </c>
      <c r="N92">
        <v>1428.5709999999999</v>
      </c>
      <c r="O92">
        <v>100</v>
      </c>
      <c r="P92">
        <v>100</v>
      </c>
      <c r="Q92" t="s">
        <v>33</v>
      </c>
      <c r="R92" t="s">
        <v>33</v>
      </c>
      <c r="S92" t="s">
        <v>33</v>
      </c>
      <c r="T92" t="s">
        <v>33</v>
      </c>
      <c r="U92" t="s">
        <v>33</v>
      </c>
      <c r="V92" t="s">
        <v>33</v>
      </c>
      <c r="W92" t="s">
        <v>33</v>
      </c>
      <c r="X92" t="s">
        <v>33</v>
      </c>
      <c r="Y92" t="s">
        <v>33</v>
      </c>
      <c r="Z92" t="s">
        <v>33</v>
      </c>
      <c r="AA92" t="s">
        <v>33</v>
      </c>
      <c r="AB92" t="s">
        <v>33</v>
      </c>
      <c r="AC92" t="s">
        <v>33</v>
      </c>
      <c r="AD92" t="s">
        <v>33</v>
      </c>
    </row>
    <row r="93" spans="1:30" x14ac:dyDescent="0.2">
      <c r="A93" t="s">
        <v>30</v>
      </c>
      <c r="B93" t="s">
        <v>1</v>
      </c>
      <c r="C93" t="s">
        <v>2</v>
      </c>
      <c r="D93" t="s">
        <v>56</v>
      </c>
      <c r="E93" t="s">
        <v>131</v>
      </c>
      <c r="F93" t="s">
        <v>1</v>
      </c>
      <c r="G93" t="s">
        <v>32</v>
      </c>
      <c r="I93" t="s">
        <v>35</v>
      </c>
      <c r="J93" t="s">
        <v>36</v>
      </c>
      <c r="K93" t="s">
        <v>37</v>
      </c>
      <c r="L93">
        <v>10000</v>
      </c>
      <c r="M93">
        <v>7</v>
      </c>
      <c r="N93">
        <v>1428.5709999999999</v>
      </c>
      <c r="O93">
        <v>100</v>
      </c>
      <c r="P93">
        <v>100</v>
      </c>
      <c r="Q93">
        <v>327469</v>
      </c>
      <c r="R93">
        <v>96350</v>
      </c>
      <c r="S93">
        <v>328586</v>
      </c>
      <c r="T93">
        <v>91346</v>
      </c>
      <c r="U93">
        <v>392254</v>
      </c>
      <c r="V93">
        <v>80978</v>
      </c>
      <c r="W93">
        <v>82636.17</v>
      </c>
      <c r="X93">
        <v>32869.71</v>
      </c>
      <c r="Y93">
        <v>25.23</v>
      </c>
      <c r="Z93">
        <v>34.11</v>
      </c>
      <c r="AA93">
        <v>99386.83</v>
      </c>
      <c r="AB93">
        <v>32617.200000000001</v>
      </c>
      <c r="AC93">
        <v>30.25</v>
      </c>
      <c r="AD93">
        <v>35.71</v>
      </c>
    </row>
    <row r="94" spans="1:30" x14ac:dyDescent="0.2">
      <c r="A94" t="s">
        <v>30</v>
      </c>
      <c r="B94" t="s">
        <v>1</v>
      </c>
      <c r="C94" t="s">
        <v>2</v>
      </c>
      <c r="D94" t="s">
        <v>56</v>
      </c>
      <c r="E94" t="s">
        <v>131</v>
      </c>
      <c r="F94" t="s">
        <v>1</v>
      </c>
      <c r="G94" t="s">
        <v>32</v>
      </c>
      <c r="I94" t="s">
        <v>38</v>
      </c>
      <c r="J94" t="s">
        <v>36</v>
      </c>
      <c r="K94" t="s">
        <v>39</v>
      </c>
      <c r="L94">
        <v>5846</v>
      </c>
      <c r="M94">
        <v>7</v>
      </c>
      <c r="N94">
        <v>835.14300000000003</v>
      </c>
      <c r="O94">
        <v>58.46</v>
      </c>
      <c r="P94">
        <v>58.46</v>
      </c>
      <c r="Q94">
        <v>322087</v>
      </c>
      <c r="R94">
        <v>90</v>
      </c>
      <c r="S94">
        <v>321156</v>
      </c>
      <c r="T94">
        <v>90</v>
      </c>
      <c r="U94">
        <v>240695</v>
      </c>
      <c r="V94">
        <v>90</v>
      </c>
      <c r="W94">
        <v>82296.56</v>
      </c>
      <c r="X94">
        <v>6.9</v>
      </c>
      <c r="Y94">
        <v>25.55</v>
      </c>
      <c r="Z94">
        <v>7.65</v>
      </c>
      <c r="AA94">
        <v>98047.3</v>
      </c>
      <c r="AB94">
        <v>7.41</v>
      </c>
      <c r="AC94">
        <v>30.53</v>
      </c>
      <c r="AD94">
        <v>8.24</v>
      </c>
    </row>
    <row r="95" spans="1:30" x14ac:dyDescent="0.2">
      <c r="A95" t="s">
        <v>30</v>
      </c>
      <c r="B95" t="s">
        <v>1</v>
      </c>
      <c r="C95" t="s">
        <v>2</v>
      </c>
      <c r="D95" t="s">
        <v>56</v>
      </c>
      <c r="E95" t="s">
        <v>131</v>
      </c>
      <c r="F95" t="s">
        <v>1</v>
      </c>
      <c r="G95" t="s">
        <v>32</v>
      </c>
      <c r="I95" t="s">
        <v>35</v>
      </c>
      <c r="J95" t="s">
        <v>36</v>
      </c>
      <c r="K95" t="s">
        <v>39</v>
      </c>
      <c r="L95">
        <v>10000</v>
      </c>
      <c r="M95">
        <v>7</v>
      </c>
      <c r="N95">
        <v>1428.5709999999999</v>
      </c>
      <c r="O95">
        <v>100</v>
      </c>
      <c r="P95">
        <v>100</v>
      </c>
      <c r="Q95">
        <v>327469</v>
      </c>
      <c r="R95">
        <v>96</v>
      </c>
      <c r="S95">
        <v>328586</v>
      </c>
      <c r="T95">
        <v>96</v>
      </c>
      <c r="U95">
        <v>392254</v>
      </c>
      <c r="V95">
        <v>95</v>
      </c>
      <c r="W95">
        <v>82636.17</v>
      </c>
      <c r="X95">
        <v>9.67</v>
      </c>
      <c r="Y95">
        <v>25.23</v>
      </c>
      <c r="Z95">
        <v>10.08</v>
      </c>
      <c r="AA95">
        <v>99386.83</v>
      </c>
      <c r="AB95">
        <v>10.38</v>
      </c>
      <c r="AC95">
        <v>30.25</v>
      </c>
      <c r="AD95">
        <v>10.81</v>
      </c>
    </row>
    <row r="96" spans="1:30" x14ac:dyDescent="0.2">
      <c r="A96" t="s">
        <v>30</v>
      </c>
      <c r="B96" t="s">
        <v>1</v>
      </c>
      <c r="C96" t="s">
        <v>2</v>
      </c>
      <c r="D96" t="s">
        <v>56</v>
      </c>
      <c r="E96" t="s">
        <v>131</v>
      </c>
      <c r="F96" t="s">
        <v>1</v>
      </c>
      <c r="G96" t="s">
        <v>32</v>
      </c>
      <c r="I96" t="s">
        <v>38</v>
      </c>
      <c r="J96" t="s">
        <v>40</v>
      </c>
      <c r="L96">
        <v>5846</v>
      </c>
      <c r="M96">
        <v>7</v>
      </c>
      <c r="N96">
        <v>835.14300000000003</v>
      </c>
      <c r="O96">
        <v>58.46</v>
      </c>
      <c r="P96">
        <v>58.46</v>
      </c>
      <c r="Q96">
        <v>355</v>
      </c>
      <c r="R96" t="s">
        <v>33</v>
      </c>
      <c r="S96">
        <v>332</v>
      </c>
      <c r="T96" t="s">
        <v>33</v>
      </c>
      <c r="U96">
        <v>400</v>
      </c>
      <c r="V96" t="s">
        <v>33</v>
      </c>
      <c r="W96">
        <v>150.41</v>
      </c>
      <c r="X96" t="s">
        <v>33</v>
      </c>
      <c r="Y96">
        <v>42.35</v>
      </c>
      <c r="Z96" t="s">
        <v>33</v>
      </c>
      <c r="AA96">
        <v>142.33000000000001</v>
      </c>
      <c r="AB96" t="s">
        <v>33</v>
      </c>
      <c r="AC96">
        <v>42.87</v>
      </c>
      <c r="AD96" t="s">
        <v>33</v>
      </c>
    </row>
    <row r="97" spans="1:30" x14ac:dyDescent="0.2">
      <c r="A97" t="s">
        <v>30</v>
      </c>
      <c r="B97" t="s">
        <v>1</v>
      </c>
      <c r="C97" t="s">
        <v>2</v>
      </c>
      <c r="D97" t="s">
        <v>56</v>
      </c>
      <c r="E97" t="s">
        <v>131</v>
      </c>
      <c r="F97" t="s">
        <v>1</v>
      </c>
      <c r="G97" t="s">
        <v>32</v>
      </c>
      <c r="I97" t="s">
        <v>38</v>
      </c>
      <c r="J97" t="s">
        <v>41</v>
      </c>
      <c r="L97">
        <v>5846</v>
      </c>
      <c r="M97">
        <v>7</v>
      </c>
      <c r="N97">
        <v>835.14300000000003</v>
      </c>
      <c r="O97">
        <v>58.46</v>
      </c>
      <c r="P97">
        <v>58.46</v>
      </c>
      <c r="Q97">
        <v>9747</v>
      </c>
      <c r="R97" t="s">
        <v>33</v>
      </c>
      <c r="S97">
        <v>9001</v>
      </c>
      <c r="T97" t="s">
        <v>33</v>
      </c>
      <c r="U97">
        <v>7543</v>
      </c>
      <c r="V97" t="s">
        <v>33</v>
      </c>
      <c r="W97">
        <v>4311.25</v>
      </c>
      <c r="X97" t="s">
        <v>33</v>
      </c>
      <c r="Y97">
        <v>44.23</v>
      </c>
      <c r="Z97" t="s">
        <v>33</v>
      </c>
      <c r="AA97">
        <v>3753.2</v>
      </c>
      <c r="AB97" t="s">
        <v>33</v>
      </c>
      <c r="AC97">
        <v>41.7</v>
      </c>
      <c r="AD97" t="s">
        <v>33</v>
      </c>
    </row>
    <row r="98" spans="1:30" x14ac:dyDescent="0.2">
      <c r="A98" t="s">
        <v>30</v>
      </c>
      <c r="B98" t="s">
        <v>1</v>
      </c>
      <c r="C98" t="s">
        <v>2</v>
      </c>
      <c r="D98" t="s">
        <v>57</v>
      </c>
      <c r="E98" t="s">
        <v>132</v>
      </c>
      <c r="F98" t="s">
        <v>1</v>
      </c>
      <c r="G98" t="s">
        <v>32</v>
      </c>
      <c r="H98" t="s">
        <v>33</v>
      </c>
      <c r="I98" t="s">
        <v>34</v>
      </c>
      <c r="J98" t="s">
        <v>33</v>
      </c>
      <c r="K98" t="s">
        <v>33</v>
      </c>
      <c r="L98">
        <v>10000</v>
      </c>
      <c r="M98">
        <v>5</v>
      </c>
      <c r="N98">
        <v>2000</v>
      </c>
      <c r="O98">
        <v>100</v>
      </c>
      <c r="P98">
        <v>100</v>
      </c>
      <c r="Q98" t="s">
        <v>33</v>
      </c>
      <c r="R98" t="s">
        <v>33</v>
      </c>
      <c r="S98" t="s">
        <v>33</v>
      </c>
      <c r="T98" t="s">
        <v>33</v>
      </c>
      <c r="U98" t="s">
        <v>33</v>
      </c>
      <c r="V98" t="s">
        <v>33</v>
      </c>
      <c r="W98" t="s">
        <v>33</v>
      </c>
      <c r="X98" t="s">
        <v>33</v>
      </c>
      <c r="Y98" t="s">
        <v>33</v>
      </c>
      <c r="Z98" t="s">
        <v>33</v>
      </c>
      <c r="AA98" t="s">
        <v>33</v>
      </c>
      <c r="AB98" t="s">
        <v>33</v>
      </c>
      <c r="AC98" t="s">
        <v>33</v>
      </c>
      <c r="AD98" t="s">
        <v>33</v>
      </c>
    </row>
    <row r="99" spans="1:30" x14ac:dyDescent="0.2">
      <c r="A99" t="s">
        <v>30</v>
      </c>
      <c r="B99" t="s">
        <v>1</v>
      </c>
      <c r="C99" t="s">
        <v>2</v>
      </c>
      <c r="D99" t="s">
        <v>57</v>
      </c>
      <c r="E99" t="s">
        <v>132</v>
      </c>
      <c r="F99" t="s">
        <v>1</v>
      </c>
      <c r="G99" t="s">
        <v>32</v>
      </c>
      <c r="I99" t="s">
        <v>35</v>
      </c>
      <c r="J99" t="s">
        <v>36</v>
      </c>
      <c r="K99" t="s">
        <v>37</v>
      </c>
      <c r="L99">
        <v>10000</v>
      </c>
      <c r="M99">
        <v>5</v>
      </c>
      <c r="N99">
        <v>2000</v>
      </c>
      <c r="O99">
        <v>100</v>
      </c>
      <c r="P99">
        <v>100</v>
      </c>
      <c r="Q99">
        <v>324516</v>
      </c>
      <c r="R99">
        <v>94701</v>
      </c>
      <c r="S99">
        <v>324210</v>
      </c>
      <c r="T99">
        <v>90040</v>
      </c>
      <c r="U99">
        <v>238631</v>
      </c>
      <c r="V99">
        <v>74777</v>
      </c>
      <c r="W99">
        <v>81764.03</v>
      </c>
      <c r="X99">
        <v>31944.44</v>
      </c>
      <c r="Y99">
        <v>25.2</v>
      </c>
      <c r="Z99">
        <v>33.729999999999997</v>
      </c>
      <c r="AA99">
        <v>98662.58</v>
      </c>
      <c r="AB99">
        <v>31337.72</v>
      </c>
      <c r="AC99">
        <v>30.43</v>
      </c>
      <c r="AD99">
        <v>34.799999999999997</v>
      </c>
    </row>
    <row r="100" spans="1:30" x14ac:dyDescent="0.2">
      <c r="A100" t="s">
        <v>30</v>
      </c>
      <c r="B100" t="s">
        <v>1</v>
      </c>
      <c r="C100" t="s">
        <v>2</v>
      </c>
      <c r="D100" t="s">
        <v>57</v>
      </c>
      <c r="E100" t="s">
        <v>132</v>
      </c>
      <c r="F100" t="s">
        <v>1</v>
      </c>
      <c r="G100" t="s">
        <v>32</v>
      </c>
      <c r="I100" t="s">
        <v>38</v>
      </c>
      <c r="J100" t="s">
        <v>36</v>
      </c>
      <c r="K100" t="s">
        <v>39</v>
      </c>
      <c r="L100">
        <v>5810</v>
      </c>
      <c r="M100">
        <v>5</v>
      </c>
      <c r="N100">
        <v>1162</v>
      </c>
      <c r="O100">
        <v>58.1</v>
      </c>
      <c r="P100">
        <v>58.1</v>
      </c>
      <c r="Q100">
        <v>321319</v>
      </c>
      <c r="R100">
        <v>90</v>
      </c>
      <c r="S100">
        <v>318858</v>
      </c>
      <c r="T100">
        <v>90</v>
      </c>
      <c r="U100">
        <v>246812</v>
      </c>
      <c r="V100">
        <v>89</v>
      </c>
      <c r="W100">
        <v>81788.13</v>
      </c>
      <c r="X100">
        <v>7.05</v>
      </c>
      <c r="Y100">
        <v>25.45</v>
      </c>
      <c r="Z100">
        <v>7.82</v>
      </c>
      <c r="AA100">
        <v>98417.21</v>
      </c>
      <c r="AB100">
        <v>7.41</v>
      </c>
      <c r="AC100">
        <v>30.87</v>
      </c>
      <c r="AD100">
        <v>8.24</v>
      </c>
    </row>
    <row r="101" spans="1:30" x14ac:dyDescent="0.2">
      <c r="A101" t="s">
        <v>30</v>
      </c>
      <c r="B101" t="s">
        <v>1</v>
      </c>
      <c r="C101" t="s">
        <v>2</v>
      </c>
      <c r="D101" t="s">
        <v>57</v>
      </c>
      <c r="E101" t="s">
        <v>132</v>
      </c>
      <c r="F101" t="s">
        <v>1</v>
      </c>
      <c r="G101" t="s">
        <v>32</v>
      </c>
      <c r="I101" t="s">
        <v>35</v>
      </c>
      <c r="J101" t="s">
        <v>36</v>
      </c>
      <c r="K101" t="s">
        <v>39</v>
      </c>
      <c r="L101">
        <v>10000</v>
      </c>
      <c r="M101">
        <v>5</v>
      </c>
      <c r="N101">
        <v>2000</v>
      </c>
      <c r="O101">
        <v>100</v>
      </c>
      <c r="P101">
        <v>100</v>
      </c>
      <c r="Q101">
        <v>324516</v>
      </c>
      <c r="R101">
        <v>96</v>
      </c>
      <c r="S101">
        <v>324210</v>
      </c>
      <c r="T101">
        <v>96</v>
      </c>
      <c r="U101">
        <v>238631</v>
      </c>
      <c r="V101">
        <v>96</v>
      </c>
      <c r="W101">
        <v>81764.03</v>
      </c>
      <c r="X101">
        <v>9.66</v>
      </c>
      <c r="Y101">
        <v>25.2</v>
      </c>
      <c r="Z101">
        <v>10.08</v>
      </c>
      <c r="AA101">
        <v>98662.58</v>
      </c>
      <c r="AB101">
        <v>10.38</v>
      </c>
      <c r="AC101">
        <v>30.43</v>
      </c>
      <c r="AD101">
        <v>10.81</v>
      </c>
    </row>
    <row r="102" spans="1:30" x14ac:dyDescent="0.2">
      <c r="A102" t="s">
        <v>30</v>
      </c>
      <c r="B102" t="s">
        <v>1</v>
      </c>
      <c r="C102" t="s">
        <v>2</v>
      </c>
      <c r="D102" t="s">
        <v>57</v>
      </c>
      <c r="E102" t="s">
        <v>132</v>
      </c>
      <c r="F102" t="s">
        <v>1</v>
      </c>
      <c r="G102" t="s">
        <v>32</v>
      </c>
      <c r="I102" t="s">
        <v>38</v>
      </c>
      <c r="J102" t="s">
        <v>40</v>
      </c>
      <c r="L102">
        <v>5810</v>
      </c>
      <c r="M102">
        <v>5</v>
      </c>
      <c r="N102">
        <v>1162</v>
      </c>
      <c r="O102">
        <v>58.1</v>
      </c>
      <c r="P102">
        <v>58.1</v>
      </c>
      <c r="Q102">
        <v>335</v>
      </c>
      <c r="R102" t="s">
        <v>33</v>
      </c>
      <c r="S102">
        <v>314</v>
      </c>
      <c r="T102" t="s">
        <v>33</v>
      </c>
      <c r="U102">
        <v>373</v>
      </c>
      <c r="V102" t="s">
        <v>33</v>
      </c>
      <c r="W102">
        <v>141.22</v>
      </c>
      <c r="X102" t="s">
        <v>33</v>
      </c>
      <c r="Y102">
        <v>42.17</v>
      </c>
      <c r="Z102" t="s">
        <v>33</v>
      </c>
      <c r="AA102">
        <v>136.4</v>
      </c>
      <c r="AB102" t="s">
        <v>33</v>
      </c>
      <c r="AC102">
        <v>43.44</v>
      </c>
      <c r="AD102" t="s">
        <v>33</v>
      </c>
    </row>
    <row r="103" spans="1:30" x14ac:dyDescent="0.2">
      <c r="A103" t="s">
        <v>30</v>
      </c>
      <c r="B103" t="s">
        <v>1</v>
      </c>
      <c r="C103" t="s">
        <v>2</v>
      </c>
      <c r="D103" t="s">
        <v>57</v>
      </c>
      <c r="E103" t="s">
        <v>132</v>
      </c>
      <c r="F103" t="s">
        <v>1</v>
      </c>
      <c r="G103" t="s">
        <v>32</v>
      </c>
      <c r="I103" t="s">
        <v>38</v>
      </c>
      <c r="J103" t="s">
        <v>41</v>
      </c>
      <c r="L103">
        <v>5810</v>
      </c>
      <c r="M103">
        <v>5</v>
      </c>
      <c r="N103">
        <v>1162</v>
      </c>
      <c r="O103">
        <v>58.1</v>
      </c>
      <c r="P103">
        <v>58.1</v>
      </c>
      <c r="Q103">
        <v>8784</v>
      </c>
      <c r="R103" t="s">
        <v>33</v>
      </c>
      <c r="S103">
        <v>8012</v>
      </c>
      <c r="T103" t="s">
        <v>33</v>
      </c>
      <c r="U103">
        <v>7445</v>
      </c>
      <c r="V103" t="s">
        <v>33</v>
      </c>
      <c r="W103">
        <v>4170.6400000000003</v>
      </c>
      <c r="X103" t="s">
        <v>33</v>
      </c>
      <c r="Y103">
        <v>47.48</v>
      </c>
      <c r="Z103" t="s">
        <v>33</v>
      </c>
      <c r="AA103">
        <v>3536</v>
      </c>
      <c r="AB103" t="s">
        <v>33</v>
      </c>
      <c r="AC103">
        <v>44.13</v>
      </c>
      <c r="AD103" t="s">
        <v>33</v>
      </c>
    </row>
    <row r="104" spans="1:30" x14ac:dyDescent="0.2">
      <c r="A104" t="s">
        <v>30</v>
      </c>
      <c r="B104" t="s">
        <v>1</v>
      </c>
      <c r="C104" t="s">
        <v>2</v>
      </c>
      <c r="D104" t="s">
        <v>58</v>
      </c>
      <c r="E104" t="s">
        <v>133</v>
      </c>
      <c r="F104" t="s">
        <v>1</v>
      </c>
      <c r="G104" t="s">
        <v>32</v>
      </c>
      <c r="H104" t="s">
        <v>33</v>
      </c>
      <c r="I104" t="s">
        <v>34</v>
      </c>
      <c r="J104" t="s">
        <v>33</v>
      </c>
      <c r="K104" t="s">
        <v>33</v>
      </c>
      <c r="L104">
        <v>10000</v>
      </c>
      <c r="M104">
        <v>3</v>
      </c>
      <c r="N104">
        <v>3333.3330000000001</v>
      </c>
      <c r="O104">
        <v>100</v>
      </c>
      <c r="P104">
        <v>100</v>
      </c>
      <c r="Q104" t="s">
        <v>33</v>
      </c>
      <c r="R104" t="s">
        <v>33</v>
      </c>
      <c r="S104" t="s">
        <v>33</v>
      </c>
      <c r="T104" t="s">
        <v>33</v>
      </c>
      <c r="U104" t="s">
        <v>33</v>
      </c>
      <c r="V104" t="s">
        <v>33</v>
      </c>
      <c r="W104" t="s">
        <v>33</v>
      </c>
      <c r="X104" t="s">
        <v>33</v>
      </c>
      <c r="Y104" t="s">
        <v>33</v>
      </c>
      <c r="Z104" t="s">
        <v>33</v>
      </c>
      <c r="AA104" t="s">
        <v>33</v>
      </c>
      <c r="AB104" t="s">
        <v>33</v>
      </c>
      <c r="AC104" t="s">
        <v>33</v>
      </c>
      <c r="AD104" t="s">
        <v>33</v>
      </c>
    </row>
    <row r="105" spans="1:30" x14ac:dyDescent="0.2">
      <c r="A105" t="s">
        <v>30</v>
      </c>
      <c r="B105" t="s">
        <v>1</v>
      </c>
      <c r="C105" t="s">
        <v>2</v>
      </c>
      <c r="D105" t="s">
        <v>58</v>
      </c>
      <c r="E105" t="s">
        <v>133</v>
      </c>
      <c r="F105" t="s">
        <v>1</v>
      </c>
      <c r="G105" t="s">
        <v>32</v>
      </c>
      <c r="I105" t="s">
        <v>35</v>
      </c>
      <c r="J105" t="s">
        <v>36</v>
      </c>
      <c r="K105" t="s">
        <v>37</v>
      </c>
      <c r="L105">
        <v>10000</v>
      </c>
      <c r="M105">
        <v>3</v>
      </c>
      <c r="N105">
        <v>3333.3330000000001</v>
      </c>
      <c r="O105">
        <v>100</v>
      </c>
      <c r="P105">
        <v>100</v>
      </c>
      <c r="Q105">
        <v>305212</v>
      </c>
      <c r="R105">
        <v>91314</v>
      </c>
      <c r="S105">
        <v>301898</v>
      </c>
      <c r="T105">
        <v>85298</v>
      </c>
      <c r="U105">
        <v>297811</v>
      </c>
      <c r="V105">
        <v>82915</v>
      </c>
      <c r="W105">
        <v>83325.919999999998</v>
      </c>
      <c r="X105">
        <v>32946.230000000003</v>
      </c>
      <c r="Y105">
        <v>27.3</v>
      </c>
      <c r="Z105">
        <v>36.08</v>
      </c>
      <c r="AA105">
        <v>97679.62</v>
      </c>
      <c r="AB105">
        <v>30719.47</v>
      </c>
      <c r="AC105">
        <v>32.36</v>
      </c>
      <c r="AD105">
        <v>36.01</v>
      </c>
    </row>
    <row r="106" spans="1:30" x14ac:dyDescent="0.2">
      <c r="A106" t="s">
        <v>30</v>
      </c>
      <c r="B106" t="s">
        <v>1</v>
      </c>
      <c r="C106" t="s">
        <v>2</v>
      </c>
      <c r="D106" t="s">
        <v>58</v>
      </c>
      <c r="E106" t="s">
        <v>133</v>
      </c>
      <c r="F106" t="s">
        <v>1</v>
      </c>
      <c r="G106" t="s">
        <v>32</v>
      </c>
      <c r="I106" t="s">
        <v>38</v>
      </c>
      <c r="J106" t="s">
        <v>36</v>
      </c>
      <c r="K106" t="s">
        <v>39</v>
      </c>
      <c r="L106">
        <v>4979</v>
      </c>
      <c r="M106">
        <v>3</v>
      </c>
      <c r="N106">
        <v>1659.6669999999999</v>
      </c>
      <c r="O106">
        <v>49.79</v>
      </c>
      <c r="P106">
        <v>49.79</v>
      </c>
      <c r="Q106">
        <v>308951</v>
      </c>
      <c r="R106">
        <v>89</v>
      </c>
      <c r="S106">
        <v>306319</v>
      </c>
      <c r="T106">
        <v>88</v>
      </c>
      <c r="U106">
        <v>297891</v>
      </c>
      <c r="V106">
        <v>85</v>
      </c>
      <c r="W106">
        <v>82806.09</v>
      </c>
      <c r="X106">
        <v>7.15</v>
      </c>
      <c r="Y106">
        <v>26.8</v>
      </c>
      <c r="Z106">
        <v>8.07</v>
      </c>
      <c r="AA106">
        <v>95251.12</v>
      </c>
      <c r="AB106">
        <v>7.41</v>
      </c>
      <c r="AC106">
        <v>31.1</v>
      </c>
      <c r="AD106">
        <v>8.42</v>
      </c>
    </row>
    <row r="107" spans="1:30" x14ac:dyDescent="0.2">
      <c r="A107" t="s">
        <v>30</v>
      </c>
      <c r="B107" t="s">
        <v>1</v>
      </c>
      <c r="C107" t="s">
        <v>2</v>
      </c>
      <c r="D107" t="s">
        <v>58</v>
      </c>
      <c r="E107" t="s">
        <v>133</v>
      </c>
      <c r="F107" t="s">
        <v>1</v>
      </c>
      <c r="G107" t="s">
        <v>32</v>
      </c>
      <c r="I107" t="s">
        <v>35</v>
      </c>
      <c r="J107" t="s">
        <v>36</v>
      </c>
      <c r="K107" t="s">
        <v>39</v>
      </c>
      <c r="L107">
        <v>10000</v>
      </c>
      <c r="M107">
        <v>3</v>
      </c>
      <c r="N107">
        <v>3333.3330000000001</v>
      </c>
      <c r="O107">
        <v>100</v>
      </c>
      <c r="P107">
        <v>100</v>
      </c>
      <c r="Q107">
        <v>305212</v>
      </c>
      <c r="R107">
        <v>95</v>
      </c>
      <c r="S107">
        <v>301898</v>
      </c>
      <c r="T107">
        <v>94</v>
      </c>
      <c r="U107">
        <v>297811</v>
      </c>
      <c r="V107">
        <v>93</v>
      </c>
      <c r="W107">
        <v>83325.919999999998</v>
      </c>
      <c r="X107">
        <v>9.9600000000000009</v>
      </c>
      <c r="Y107">
        <v>27.3</v>
      </c>
      <c r="Z107">
        <v>10.5</v>
      </c>
      <c r="AA107">
        <v>97679.62</v>
      </c>
      <c r="AB107">
        <v>10.38</v>
      </c>
      <c r="AC107">
        <v>32.36</v>
      </c>
      <c r="AD107">
        <v>11.04</v>
      </c>
    </row>
    <row r="108" spans="1:30" x14ac:dyDescent="0.2">
      <c r="A108" t="s">
        <v>30</v>
      </c>
      <c r="B108" t="s">
        <v>1</v>
      </c>
      <c r="C108" t="s">
        <v>2</v>
      </c>
      <c r="D108" t="s">
        <v>58</v>
      </c>
      <c r="E108" t="s">
        <v>133</v>
      </c>
      <c r="F108" t="s">
        <v>1</v>
      </c>
      <c r="G108" t="s">
        <v>32</v>
      </c>
      <c r="I108" t="s">
        <v>38</v>
      </c>
      <c r="J108" t="s">
        <v>40</v>
      </c>
      <c r="L108">
        <v>4979</v>
      </c>
      <c r="M108">
        <v>3</v>
      </c>
      <c r="N108">
        <v>1659.6669999999999</v>
      </c>
      <c r="O108">
        <v>49.79</v>
      </c>
      <c r="P108">
        <v>49.79</v>
      </c>
      <c r="Q108">
        <v>166</v>
      </c>
      <c r="R108" t="s">
        <v>33</v>
      </c>
      <c r="S108">
        <v>154</v>
      </c>
      <c r="T108" t="s">
        <v>33</v>
      </c>
      <c r="U108">
        <v>168</v>
      </c>
      <c r="V108" t="s">
        <v>33</v>
      </c>
      <c r="W108">
        <v>72.930000000000007</v>
      </c>
      <c r="X108" t="s">
        <v>33</v>
      </c>
      <c r="Y108">
        <v>43.97</v>
      </c>
      <c r="Z108" t="s">
        <v>33</v>
      </c>
      <c r="AA108">
        <v>63.75</v>
      </c>
      <c r="AB108" t="s">
        <v>33</v>
      </c>
      <c r="AC108">
        <v>41.4</v>
      </c>
      <c r="AD108" t="s">
        <v>33</v>
      </c>
    </row>
    <row r="109" spans="1:30" x14ac:dyDescent="0.2">
      <c r="A109" t="s">
        <v>30</v>
      </c>
      <c r="B109" t="s">
        <v>1</v>
      </c>
      <c r="C109" t="s">
        <v>2</v>
      </c>
      <c r="D109" t="s">
        <v>58</v>
      </c>
      <c r="E109" t="s">
        <v>133</v>
      </c>
      <c r="F109" t="s">
        <v>1</v>
      </c>
      <c r="G109" t="s">
        <v>32</v>
      </c>
      <c r="I109" t="s">
        <v>38</v>
      </c>
      <c r="J109" t="s">
        <v>41</v>
      </c>
      <c r="L109">
        <v>4979</v>
      </c>
      <c r="M109">
        <v>3</v>
      </c>
      <c r="N109">
        <v>1659.6669999999999</v>
      </c>
      <c r="O109">
        <v>49.79</v>
      </c>
      <c r="P109">
        <v>49.79</v>
      </c>
      <c r="Q109">
        <v>404</v>
      </c>
      <c r="R109" t="s">
        <v>33</v>
      </c>
      <c r="S109">
        <v>334</v>
      </c>
      <c r="T109" t="s">
        <v>33</v>
      </c>
      <c r="U109">
        <v>305</v>
      </c>
      <c r="V109" t="s">
        <v>33</v>
      </c>
      <c r="W109">
        <v>305.89</v>
      </c>
      <c r="X109" t="s">
        <v>33</v>
      </c>
      <c r="Y109">
        <v>75.650000000000006</v>
      </c>
      <c r="Z109" t="s">
        <v>33</v>
      </c>
      <c r="AA109">
        <v>194.22</v>
      </c>
      <c r="AB109" t="s">
        <v>33</v>
      </c>
      <c r="AC109">
        <v>58.15</v>
      </c>
      <c r="AD109" t="s">
        <v>33</v>
      </c>
    </row>
    <row r="110" spans="1:30" x14ac:dyDescent="0.2">
      <c r="A110" t="s">
        <v>30</v>
      </c>
      <c r="B110" t="s">
        <v>1</v>
      </c>
      <c r="C110" t="s">
        <v>2</v>
      </c>
      <c r="D110" t="s">
        <v>59</v>
      </c>
      <c r="E110" t="s">
        <v>134</v>
      </c>
      <c r="F110" t="s">
        <v>1</v>
      </c>
      <c r="G110" t="s">
        <v>32</v>
      </c>
      <c r="H110" t="s">
        <v>33</v>
      </c>
      <c r="I110" t="s">
        <v>34</v>
      </c>
      <c r="J110" t="s">
        <v>33</v>
      </c>
      <c r="K110" t="s">
        <v>33</v>
      </c>
      <c r="L110">
        <v>10000</v>
      </c>
      <c r="M110">
        <v>7</v>
      </c>
      <c r="N110">
        <v>1428.5709999999999</v>
      </c>
      <c r="O110">
        <v>100</v>
      </c>
      <c r="P110">
        <v>100</v>
      </c>
      <c r="Q110" t="s">
        <v>33</v>
      </c>
      <c r="R110" t="s">
        <v>33</v>
      </c>
      <c r="S110" t="s">
        <v>33</v>
      </c>
      <c r="T110" t="s">
        <v>33</v>
      </c>
      <c r="U110" t="s">
        <v>33</v>
      </c>
      <c r="V110" t="s">
        <v>33</v>
      </c>
      <c r="W110" t="s">
        <v>33</v>
      </c>
      <c r="X110" t="s">
        <v>33</v>
      </c>
      <c r="Y110" t="s">
        <v>33</v>
      </c>
      <c r="Z110" t="s">
        <v>33</v>
      </c>
      <c r="AA110" t="s">
        <v>33</v>
      </c>
      <c r="AB110" t="s">
        <v>33</v>
      </c>
      <c r="AC110" t="s">
        <v>33</v>
      </c>
      <c r="AD110" t="s">
        <v>33</v>
      </c>
    </row>
    <row r="111" spans="1:30" x14ac:dyDescent="0.2">
      <c r="A111" t="s">
        <v>30</v>
      </c>
      <c r="B111" t="s">
        <v>1</v>
      </c>
      <c r="C111" t="s">
        <v>2</v>
      </c>
      <c r="D111" t="s">
        <v>59</v>
      </c>
      <c r="E111" t="s">
        <v>134</v>
      </c>
      <c r="F111" t="s">
        <v>1</v>
      </c>
      <c r="G111" t="s">
        <v>32</v>
      </c>
      <c r="I111" t="s">
        <v>35</v>
      </c>
      <c r="J111" t="s">
        <v>36</v>
      </c>
      <c r="K111" t="s">
        <v>37</v>
      </c>
      <c r="L111">
        <v>10000</v>
      </c>
      <c r="M111">
        <v>7</v>
      </c>
      <c r="N111">
        <v>1428.5709999999999</v>
      </c>
      <c r="O111">
        <v>100</v>
      </c>
      <c r="P111">
        <v>100</v>
      </c>
      <c r="Q111">
        <v>338828</v>
      </c>
      <c r="R111">
        <v>93266</v>
      </c>
      <c r="S111">
        <v>342082</v>
      </c>
      <c r="T111">
        <v>88801</v>
      </c>
      <c r="U111">
        <v>390115</v>
      </c>
      <c r="V111">
        <v>85073</v>
      </c>
      <c r="W111">
        <v>84749.64</v>
      </c>
      <c r="X111">
        <v>31189.31</v>
      </c>
      <c r="Y111">
        <v>25.01</v>
      </c>
      <c r="Z111">
        <v>33.44</v>
      </c>
      <c r="AA111">
        <v>102077.75</v>
      </c>
      <c r="AB111">
        <v>29319.9</v>
      </c>
      <c r="AC111">
        <v>29.84</v>
      </c>
      <c r="AD111">
        <v>33.020000000000003</v>
      </c>
    </row>
    <row r="112" spans="1:30" x14ac:dyDescent="0.2">
      <c r="A112" t="s">
        <v>30</v>
      </c>
      <c r="B112" t="s">
        <v>1</v>
      </c>
      <c r="C112" t="s">
        <v>2</v>
      </c>
      <c r="D112" t="s">
        <v>59</v>
      </c>
      <c r="E112" t="s">
        <v>134</v>
      </c>
      <c r="F112" t="s">
        <v>1</v>
      </c>
      <c r="G112" t="s">
        <v>32</v>
      </c>
      <c r="I112" t="s">
        <v>38</v>
      </c>
      <c r="J112" t="s">
        <v>36</v>
      </c>
      <c r="K112" t="s">
        <v>39</v>
      </c>
      <c r="L112">
        <v>6037</v>
      </c>
      <c r="M112">
        <v>7</v>
      </c>
      <c r="N112">
        <v>862.42899999999997</v>
      </c>
      <c r="O112">
        <v>60.37</v>
      </c>
      <c r="P112">
        <v>60.37</v>
      </c>
      <c r="Q112">
        <v>336235</v>
      </c>
      <c r="R112">
        <v>91</v>
      </c>
      <c r="S112">
        <v>338348</v>
      </c>
      <c r="T112">
        <v>91</v>
      </c>
      <c r="U112">
        <v>281775</v>
      </c>
      <c r="V112">
        <v>89</v>
      </c>
      <c r="W112">
        <v>84949.72</v>
      </c>
      <c r="X112">
        <v>7.15</v>
      </c>
      <c r="Y112">
        <v>25.27</v>
      </c>
      <c r="Z112">
        <v>7.87</v>
      </c>
      <c r="AA112">
        <v>102761.97</v>
      </c>
      <c r="AB112">
        <v>7.41</v>
      </c>
      <c r="AC112">
        <v>30.37</v>
      </c>
      <c r="AD112">
        <v>8.15</v>
      </c>
    </row>
    <row r="113" spans="1:30" x14ac:dyDescent="0.2">
      <c r="A113" t="s">
        <v>30</v>
      </c>
      <c r="B113" t="s">
        <v>1</v>
      </c>
      <c r="C113" t="s">
        <v>2</v>
      </c>
      <c r="D113" t="s">
        <v>59</v>
      </c>
      <c r="E113" t="s">
        <v>134</v>
      </c>
      <c r="F113" t="s">
        <v>1</v>
      </c>
      <c r="G113" t="s">
        <v>32</v>
      </c>
      <c r="I113" t="s">
        <v>35</v>
      </c>
      <c r="J113" t="s">
        <v>36</v>
      </c>
      <c r="K113" t="s">
        <v>39</v>
      </c>
      <c r="L113">
        <v>10000</v>
      </c>
      <c r="M113">
        <v>7</v>
      </c>
      <c r="N113">
        <v>1428.5709999999999</v>
      </c>
      <c r="O113">
        <v>100</v>
      </c>
      <c r="P113">
        <v>100</v>
      </c>
      <c r="Q113">
        <v>338828</v>
      </c>
      <c r="R113">
        <v>96</v>
      </c>
      <c r="S113">
        <v>342082</v>
      </c>
      <c r="T113">
        <v>96</v>
      </c>
      <c r="U113">
        <v>390115</v>
      </c>
      <c r="V113">
        <v>97</v>
      </c>
      <c r="W113">
        <v>84749.64</v>
      </c>
      <c r="X113">
        <v>9.3699999999999992</v>
      </c>
      <c r="Y113">
        <v>25.01</v>
      </c>
      <c r="Z113">
        <v>9.77</v>
      </c>
      <c r="AA113">
        <v>102077.75</v>
      </c>
      <c r="AB113">
        <v>10.38</v>
      </c>
      <c r="AC113">
        <v>29.84</v>
      </c>
      <c r="AD113">
        <v>10.81</v>
      </c>
    </row>
    <row r="114" spans="1:30" x14ac:dyDescent="0.2">
      <c r="A114" t="s">
        <v>30</v>
      </c>
      <c r="B114" t="s">
        <v>1</v>
      </c>
      <c r="C114" t="s">
        <v>2</v>
      </c>
      <c r="D114" t="s">
        <v>59</v>
      </c>
      <c r="E114" t="s">
        <v>134</v>
      </c>
      <c r="F114" t="s">
        <v>1</v>
      </c>
      <c r="G114" t="s">
        <v>32</v>
      </c>
      <c r="I114" t="s">
        <v>38</v>
      </c>
      <c r="J114" t="s">
        <v>40</v>
      </c>
      <c r="L114">
        <v>6037</v>
      </c>
      <c r="M114">
        <v>7</v>
      </c>
      <c r="N114">
        <v>862.42899999999997</v>
      </c>
      <c r="O114">
        <v>60.37</v>
      </c>
      <c r="P114">
        <v>60.37</v>
      </c>
      <c r="Q114">
        <v>447</v>
      </c>
      <c r="R114" t="s">
        <v>33</v>
      </c>
      <c r="S114">
        <v>419</v>
      </c>
      <c r="T114" t="s">
        <v>33</v>
      </c>
      <c r="U114">
        <v>470</v>
      </c>
      <c r="V114" t="s">
        <v>33</v>
      </c>
      <c r="W114">
        <v>188.33</v>
      </c>
      <c r="X114" t="s">
        <v>33</v>
      </c>
      <c r="Y114">
        <v>42.11</v>
      </c>
      <c r="Z114" t="s">
        <v>33</v>
      </c>
      <c r="AA114">
        <v>169.02</v>
      </c>
      <c r="AB114" t="s">
        <v>33</v>
      </c>
      <c r="AC114">
        <v>40.340000000000003</v>
      </c>
      <c r="AD114" t="s">
        <v>33</v>
      </c>
    </row>
    <row r="115" spans="1:30" x14ac:dyDescent="0.2">
      <c r="A115" t="s">
        <v>30</v>
      </c>
      <c r="B115" t="s">
        <v>1</v>
      </c>
      <c r="C115" t="s">
        <v>2</v>
      </c>
      <c r="D115" t="s">
        <v>59</v>
      </c>
      <c r="E115" t="s">
        <v>134</v>
      </c>
      <c r="F115" t="s">
        <v>1</v>
      </c>
      <c r="G115" t="s">
        <v>32</v>
      </c>
      <c r="I115" t="s">
        <v>38</v>
      </c>
      <c r="J115" t="s">
        <v>41</v>
      </c>
      <c r="L115">
        <v>6037</v>
      </c>
      <c r="M115">
        <v>7</v>
      </c>
      <c r="N115">
        <v>862.42899999999997</v>
      </c>
      <c r="O115">
        <v>60.37</v>
      </c>
      <c r="P115">
        <v>60.37</v>
      </c>
      <c r="Q115">
        <v>15038</v>
      </c>
      <c r="R115" t="s">
        <v>33</v>
      </c>
      <c r="S115">
        <v>14151</v>
      </c>
      <c r="T115" t="s">
        <v>33</v>
      </c>
      <c r="U115">
        <v>16770</v>
      </c>
      <c r="V115" t="s">
        <v>33</v>
      </c>
      <c r="W115">
        <v>6212.48</v>
      </c>
      <c r="X115" t="s">
        <v>33</v>
      </c>
      <c r="Y115">
        <v>41.31</v>
      </c>
      <c r="Z115" t="s">
        <v>33</v>
      </c>
      <c r="AA115">
        <v>5627.95</v>
      </c>
      <c r="AB115" t="s">
        <v>33</v>
      </c>
      <c r="AC115">
        <v>39.770000000000003</v>
      </c>
      <c r="AD115" t="s">
        <v>33</v>
      </c>
    </row>
    <row r="116" spans="1:30" x14ac:dyDescent="0.2">
      <c r="A116" t="s">
        <v>30</v>
      </c>
      <c r="B116" t="s">
        <v>1</v>
      </c>
      <c r="C116" t="s">
        <v>2</v>
      </c>
      <c r="D116" t="s">
        <v>60</v>
      </c>
      <c r="E116" t="s">
        <v>135</v>
      </c>
      <c r="F116" t="s">
        <v>1</v>
      </c>
      <c r="G116" t="s">
        <v>32</v>
      </c>
      <c r="H116" t="s">
        <v>33</v>
      </c>
      <c r="I116" t="s">
        <v>34</v>
      </c>
      <c r="J116" t="s">
        <v>33</v>
      </c>
      <c r="K116" t="s">
        <v>33</v>
      </c>
      <c r="L116">
        <v>10000</v>
      </c>
      <c r="M116">
        <v>8</v>
      </c>
      <c r="N116">
        <v>1250</v>
      </c>
      <c r="O116">
        <v>100</v>
      </c>
      <c r="P116">
        <v>100</v>
      </c>
      <c r="Q116" t="s">
        <v>33</v>
      </c>
      <c r="R116" t="s">
        <v>33</v>
      </c>
      <c r="S116" t="s">
        <v>33</v>
      </c>
      <c r="T116" t="s">
        <v>33</v>
      </c>
      <c r="U116" t="s">
        <v>33</v>
      </c>
      <c r="V116" t="s">
        <v>33</v>
      </c>
      <c r="W116" t="s">
        <v>33</v>
      </c>
      <c r="X116" t="s">
        <v>33</v>
      </c>
      <c r="Y116" t="s">
        <v>33</v>
      </c>
      <c r="Z116" t="s">
        <v>33</v>
      </c>
      <c r="AA116" t="s">
        <v>33</v>
      </c>
      <c r="AB116" t="s">
        <v>33</v>
      </c>
      <c r="AC116" t="s">
        <v>33</v>
      </c>
      <c r="AD116" t="s">
        <v>33</v>
      </c>
    </row>
    <row r="117" spans="1:30" x14ac:dyDescent="0.2">
      <c r="A117" t="s">
        <v>30</v>
      </c>
      <c r="B117" t="s">
        <v>1</v>
      </c>
      <c r="C117" t="s">
        <v>2</v>
      </c>
      <c r="D117" t="s">
        <v>60</v>
      </c>
      <c r="E117" t="s">
        <v>135</v>
      </c>
      <c r="F117" t="s">
        <v>1</v>
      </c>
      <c r="G117" t="s">
        <v>32</v>
      </c>
      <c r="I117" t="s">
        <v>35</v>
      </c>
      <c r="J117" t="s">
        <v>36</v>
      </c>
      <c r="K117" t="s">
        <v>37</v>
      </c>
      <c r="L117">
        <v>10000</v>
      </c>
      <c r="M117">
        <v>8</v>
      </c>
      <c r="N117">
        <v>1250</v>
      </c>
      <c r="O117">
        <v>100</v>
      </c>
      <c r="P117">
        <v>100</v>
      </c>
      <c r="Q117">
        <v>340078</v>
      </c>
      <c r="R117">
        <v>95181</v>
      </c>
      <c r="S117">
        <v>343434</v>
      </c>
      <c r="T117">
        <v>90698</v>
      </c>
      <c r="U117">
        <v>394308</v>
      </c>
      <c r="V117">
        <v>84894</v>
      </c>
      <c r="W117">
        <v>85824.94</v>
      </c>
      <c r="X117">
        <v>31764.17</v>
      </c>
      <c r="Y117">
        <v>25.24</v>
      </c>
      <c r="Z117">
        <v>33.369999999999997</v>
      </c>
      <c r="AA117">
        <v>104483.27</v>
      </c>
      <c r="AB117">
        <v>29207.22</v>
      </c>
      <c r="AC117">
        <v>30.42</v>
      </c>
      <c r="AD117">
        <v>32.200000000000003</v>
      </c>
    </row>
    <row r="118" spans="1:30" x14ac:dyDescent="0.2">
      <c r="A118" t="s">
        <v>30</v>
      </c>
      <c r="B118" t="s">
        <v>1</v>
      </c>
      <c r="C118" t="s">
        <v>2</v>
      </c>
      <c r="D118" t="s">
        <v>60</v>
      </c>
      <c r="E118" t="s">
        <v>135</v>
      </c>
      <c r="F118" t="s">
        <v>1</v>
      </c>
      <c r="G118" t="s">
        <v>32</v>
      </c>
      <c r="I118" t="s">
        <v>38</v>
      </c>
      <c r="J118" t="s">
        <v>36</v>
      </c>
      <c r="K118" t="s">
        <v>39</v>
      </c>
      <c r="L118">
        <v>5512</v>
      </c>
      <c r="M118">
        <v>8</v>
      </c>
      <c r="N118">
        <v>689</v>
      </c>
      <c r="O118">
        <v>55.12</v>
      </c>
      <c r="P118">
        <v>55.12</v>
      </c>
      <c r="Q118">
        <v>344105</v>
      </c>
      <c r="R118">
        <v>91</v>
      </c>
      <c r="S118">
        <v>349034</v>
      </c>
      <c r="T118">
        <v>91</v>
      </c>
      <c r="U118">
        <v>394313</v>
      </c>
      <c r="V118">
        <v>90</v>
      </c>
      <c r="W118">
        <v>84441.02</v>
      </c>
      <c r="X118">
        <v>7.21</v>
      </c>
      <c r="Y118">
        <v>24.54</v>
      </c>
      <c r="Z118">
        <v>7.95</v>
      </c>
      <c r="AA118">
        <v>100595.89</v>
      </c>
      <c r="AB118">
        <v>7.41</v>
      </c>
      <c r="AC118">
        <v>28.82</v>
      </c>
      <c r="AD118">
        <v>8.15</v>
      </c>
    </row>
    <row r="119" spans="1:30" x14ac:dyDescent="0.2">
      <c r="A119" t="s">
        <v>30</v>
      </c>
      <c r="B119" t="s">
        <v>1</v>
      </c>
      <c r="C119" t="s">
        <v>2</v>
      </c>
      <c r="D119" t="s">
        <v>60</v>
      </c>
      <c r="E119" t="s">
        <v>135</v>
      </c>
      <c r="F119" t="s">
        <v>1</v>
      </c>
      <c r="G119" t="s">
        <v>32</v>
      </c>
      <c r="I119" t="s">
        <v>35</v>
      </c>
      <c r="J119" t="s">
        <v>36</v>
      </c>
      <c r="K119" t="s">
        <v>39</v>
      </c>
      <c r="L119">
        <v>10000</v>
      </c>
      <c r="M119">
        <v>8</v>
      </c>
      <c r="N119">
        <v>1250</v>
      </c>
      <c r="O119">
        <v>100</v>
      </c>
      <c r="P119">
        <v>100</v>
      </c>
      <c r="Q119">
        <v>340078</v>
      </c>
      <c r="R119">
        <v>96</v>
      </c>
      <c r="S119">
        <v>343434</v>
      </c>
      <c r="T119">
        <v>96</v>
      </c>
      <c r="U119">
        <v>394308</v>
      </c>
      <c r="V119">
        <v>94</v>
      </c>
      <c r="W119">
        <v>85824.94</v>
      </c>
      <c r="X119">
        <v>9.32</v>
      </c>
      <c r="Y119">
        <v>25.24</v>
      </c>
      <c r="Z119">
        <v>9.73</v>
      </c>
      <c r="AA119">
        <v>104483.27</v>
      </c>
      <c r="AB119">
        <v>10.38</v>
      </c>
      <c r="AC119">
        <v>30.42</v>
      </c>
      <c r="AD119">
        <v>10.81</v>
      </c>
    </row>
    <row r="120" spans="1:30" x14ac:dyDescent="0.2">
      <c r="A120" t="s">
        <v>30</v>
      </c>
      <c r="B120" t="s">
        <v>1</v>
      </c>
      <c r="C120" t="s">
        <v>2</v>
      </c>
      <c r="D120" t="s">
        <v>60</v>
      </c>
      <c r="E120" t="s">
        <v>135</v>
      </c>
      <c r="F120" t="s">
        <v>1</v>
      </c>
      <c r="G120" t="s">
        <v>32</v>
      </c>
      <c r="I120" t="s">
        <v>38</v>
      </c>
      <c r="J120" t="s">
        <v>40</v>
      </c>
      <c r="L120">
        <v>5512</v>
      </c>
      <c r="M120">
        <v>8</v>
      </c>
      <c r="N120">
        <v>689</v>
      </c>
      <c r="O120">
        <v>55.12</v>
      </c>
      <c r="P120">
        <v>55.12</v>
      </c>
      <c r="Q120">
        <v>533</v>
      </c>
      <c r="R120" t="s">
        <v>33</v>
      </c>
      <c r="S120">
        <v>462</v>
      </c>
      <c r="T120" t="s">
        <v>33</v>
      </c>
      <c r="U120">
        <v>470</v>
      </c>
      <c r="V120" t="s">
        <v>33</v>
      </c>
      <c r="W120">
        <v>402.77</v>
      </c>
      <c r="X120" t="s">
        <v>33</v>
      </c>
      <c r="Y120">
        <v>75.55</v>
      </c>
      <c r="Z120" t="s">
        <v>33</v>
      </c>
      <c r="AA120">
        <v>179.39</v>
      </c>
      <c r="AB120" t="s">
        <v>33</v>
      </c>
      <c r="AC120">
        <v>38.83</v>
      </c>
      <c r="AD120" t="s">
        <v>33</v>
      </c>
    </row>
    <row r="121" spans="1:30" x14ac:dyDescent="0.2">
      <c r="A121" t="s">
        <v>30</v>
      </c>
      <c r="B121" t="s">
        <v>1</v>
      </c>
      <c r="C121" t="s">
        <v>2</v>
      </c>
      <c r="D121" t="s">
        <v>60</v>
      </c>
      <c r="E121" t="s">
        <v>135</v>
      </c>
      <c r="F121" t="s">
        <v>1</v>
      </c>
      <c r="G121" t="s">
        <v>32</v>
      </c>
      <c r="I121" t="s">
        <v>38</v>
      </c>
      <c r="J121" t="s">
        <v>41</v>
      </c>
      <c r="L121">
        <v>5512</v>
      </c>
      <c r="M121">
        <v>8</v>
      </c>
      <c r="N121">
        <v>689</v>
      </c>
      <c r="O121">
        <v>55.12</v>
      </c>
      <c r="P121">
        <v>55.12</v>
      </c>
      <c r="Q121">
        <v>3249</v>
      </c>
      <c r="R121" t="s">
        <v>33</v>
      </c>
      <c r="S121">
        <v>2943</v>
      </c>
      <c r="T121" t="s">
        <v>33</v>
      </c>
      <c r="U121">
        <v>2845</v>
      </c>
      <c r="V121" t="s">
        <v>33</v>
      </c>
      <c r="W121">
        <v>1598.36</v>
      </c>
      <c r="X121" t="s">
        <v>33</v>
      </c>
      <c r="Y121">
        <v>49.19</v>
      </c>
      <c r="Z121" t="s">
        <v>33</v>
      </c>
      <c r="AA121">
        <v>1335.08</v>
      </c>
      <c r="AB121" t="s">
        <v>33</v>
      </c>
      <c r="AC121">
        <v>45.37</v>
      </c>
      <c r="AD121" t="s">
        <v>33</v>
      </c>
    </row>
    <row r="122" spans="1:30" x14ac:dyDescent="0.2">
      <c r="A122" t="s">
        <v>30</v>
      </c>
      <c r="B122" t="s">
        <v>1</v>
      </c>
      <c r="C122" t="s">
        <v>2</v>
      </c>
      <c r="D122" t="s">
        <v>61</v>
      </c>
      <c r="E122" t="s">
        <v>136</v>
      </c>
      <c r="F122" t="s">
        <v>1</v>
      </c>
      <c r="G122" t="s">
        <v>32</v>
      </c>
      <c r="H122" t="s">
        <v>33</v>
      </c>
      <c r="I122" t="s">
        <v>34</v>
      </c>
      <c r="J122" t="s">
        <v>33</v>
      </c>
      <c r="K122" t="s">
        <v>33</v>
      </c>
      <c r="L122">
        <v>10000</v>
      </c>
      <c r="M122">
        <v>20</v>
      </c>
      <c r="N122">
        <v>500</v>
      </c>
      <c r="O122">
        <v>100</v>
      </c>
      <c r="P122">
        <v>100</v>
      </c>
      <c r="Q122" t="s">
        <v>33</v>
      </c>
      <c r="R122" t="s">
        <v>33</v>
      </c>
      <c r="S122" t="s">
        <v>33</v>
      </c>
      <c r="T122" t="s">
        <v>33</v>
      </c>
      <c r="U122" t="s">
        <v>33</v>
      </c>
      <c r="V122" t="s">
        <v>33</v>
      </c>
      <c r="W122" t="s">
        <v>33</v>
      </c>
      <c r="X122" t="s">
        <v>33</v>
      </c>
      <c r="Y122" t="s">
        <v>33</v>
      </c>
      <c r="Z122" t="s">
        <v>33</v>
      </c>
      <c r="AA122" t="s">
        <v>33</v>
      </c>
      <c r="AB122" t="s">
        <v>33</v>
      </c>
      <c r="AC122" t="s">
        <v>33</v>
      </c>
      <c r="AD122" t="s">
        <v>33</v>
      </c>
    </row>
    <row r="123" spans="1:30" x14ac:dyDescent="0.2">
      <c r="A123" t="s">
        <v>30</v>
      </c>
      <c r="B123" t="s">
        <v>1</v>
      </c>
      <c r="C123" t="s">
        <v>2</v>
      </c>
      <c r="D123" t="s">
        <v>61</v>
      </c>
      <c r="E123" t="s">
        <v>136</v>
      </c>
      <c r="F123" t="s">
        <v>1</v>
      </c>
      <c r="G123" t="s">
        <v>32</v>
      </c>
      <c r="I123" t="s">
        <v>35</v>
      </c>
      <c r="J123" t="s">
        <v>36</v>
      </c>
      <c r="K123" t="s">
        <v>37</v>
      </c>
      <c r="L123">
        <v>10000</v>
      </c>
      <c r="M123">
        <v>20</v>
      </c>
      <c r="N123">
        <v>500</v>
      </c>
      <c r="O123">
        <v>100</v>
      </c>
      <c r="P123">
        <v>100</v>
      </c>
      <c r="Q123">
        <v>352378</v>
      </c>
      <c r="R123">
        <v>97932</v>
      </c>
      <c r="S123">
        <v>358515</v>
      </c>
      <c r="T123">
        <v>93336</v>
      </c>
      <c r="U123">
        <v>412672</v>
      </c>
      <c r="V123">
        <v>80814</v>
      </c>
      <c r="W123">
        <v>82279</v>
      </c>
      <c r="X123">
        <v>31345.73</v>
      </c>
      <c r="Y123">
        <v>23.35</v>
      </c>
      <c r="Z123">
        <v>32.01</v>
      </c>
      <c r="AA123">
        <v>97941.3</v>
      </c>
      <c r="AB123">
        <v>28184.97</v>
      </c>
      <c r="AC123">
        <v>27.32</v>
      </c>
      <c r="AD123">
        <v>30.2</v>
      </c>
    </row>
    <row r="124" spans="1:30" x14ac:dyDescent="0.2">
      <c r="A124" t="s">
        <v>30</v>
      </c>
      <c r="B124" t="s">
        <v>1</v>
      </c>
      <c r="C124" t="s">
        <v>2</v>
      </c>
      <c r="D124" t="s">
        <v>61</v>
      </c>
      <c r="E124" t="s">
        <v>136</v>
      </c>
      <c r="F124" t="s">
        <v>1</v>
      </c>
      <c r="G124" t="s">
        <v>32</v>
      </c>
      <c r="I124" t="s">
        <v>38</v>
      </c>
      <c r="J124" t="s">
        <v>36</v>
      </c>
      <c r="K124" t="s">
        <v>39</v>
      </c>
      <c r="L124">
        <v>5632</v>
      </c>
      <c r="M124">
        <v>20</v>
      </c>
      <c r="N124">
        <v>281.60000000000002</v>
      </c>
      <c r="O124">
        <v>56.32</v>
      </c>
      <c r="P124">
        <v>56.32</v>
      </c>
      <c r="Q124">
        <v>354898</v>
      </c>
      <c r="R124">
        <v>92</v>
      </c>
      <c r="S124">
        <v>362351</v>
      </c>
      <c r="T124">
        <v>92</v>
      </c>
      <c r="U124">
        <v>431311</v>
      </c>
      <c r="V124">
        <v>91</v>
      </c>
      <c r="W124">
        <v>80193.08</v>
      </c>
      <c r="X124">
        <v>7.06</v>
      </c>
      <c r="Y124">
        <v>22.6</v>
      </c>
      <c r="Z124">
        <v>7.69</v>
      </c>
      <c r="AA124">
        <v>93326.7</v>
      </c>
      <c r="AB124">
        <v>7.41</v>
      </c>
      <c r="AC124">
        <v>25.76</v>
      </c>
      <c r="AD124">
        <v>8.06</v>
      </c>
    </row>
    <row r="125" spans="1:30" x14ac:dyDescent="0.2">
      <c r="A125" t="s">
        <v>30</v>
      </c>
      <c r="B125" t="s">
        <v>1</v>
      </c>
      <c r="C125" t="s">
        <v>2</v>
      </c>
      <c r="D125" t="s">
        <v>61</v>
      </c>
      <c r="E125" t="s">
        <v>136</v>
      </c>
      <c r="F125" t="s">
        <v>1</v>
      </c>
      <c r="G125" t="s">
        <v>32</v>
      </c>
      <c r="I125" t="s">
        <v>35</v>
      </c>
      <c r="J125" t="s">
        <v>36</v>
      </c>
      <c r="K125" t="s">
        <v>39</v>
      </c>
      <c r="L125">
        <v>10000</v>
      </c>
      <c r="M125">
        <v>20</v>
      </c>
      <c r="N125">
        <v>500</v>
      </c>
      <c r="O125">
        <v>100</v>
      </c>
      <c r="P125">
        <v>100</v>
      </c>
      <c r="Q125">
        <v>352378</v>
      </c>
      <c r="R125">
        <v>97</v>
      </c>
      <c r="S125">
        <v>358515</v>
      </c>
      <c r="T125">
        <v>97</v>
      </c>
      <c r="U125">
        <v>412672</v>
      </c>
      <c r="V125">
        <v>101</v>
      </c>
      <c r="W125">
        <v>82279</v>
      </c>
      <c r="X125">
        <v>8.8699999999999992</v>
      </c>
      <c r="Y125">
        <v>23.35</v>
      </c>
      <c r="Z125">
        <v>9.18</v>
      </c>
      <c r="AA125">
        <v>97941.3</v>
      </c>
      <c r="AB125">
        <v>10.38</v>
      </c>
      <c r="AC125">
        <v>27.32</v>
      </c>
      <c r="AD125">
        <v>10.7</v>
      </c>
    </row>
    <row r="126" spans="1:30" x14ac:dyDescent="0.2">
      <c r="A126" t="s">
        <v>30</v>
      </c>
      <c r="B126" t="s">
        <v>1</v>
      </c>
      <c r="C126" t="s">
        <v>2</v>
      </c>
      <c r="D126" t="s">
        <v>61</v>
      </c>
      <c r="E126" t="s">
        <v>136</v>
      </c>
      <c r="F126" t="s">
        <v>1</v>
      </c>
      <c r="G126" t="s">
        <v>32</v>
      </c>
      <c r="I126" t="s">
        <v>38</v>
      </c>
      <c r="J126" t="s">
        <v>40</v>
      </c>
      <c r="L126">
        <v>5632</v>
      </c>
      <c r="M126">
        <v>20</v>
      </c>
      <c r="N126">
        <v>281.60000000000002</v>
      </c>
      <c r="O126">
        <v>56.32</v>
      </c>
      <c r="P126">
        <v>56.32</v>
      </c>
      <c r="Q126">
        <v>531</v>
      </c>
      <c r="R126" t="s">
        <v>33</v>
      </c>
      <c r="S126">
        <v>495</v>
      </c>
      <c r="T126" t="s">
        <v>33</v>
      </c>
      <c r="U126">
        <v>568</v>
      </c>
      <c r="V126" t="s">
        <v>33</v>
      </c>
      <c r="W126">
        <v>228.05</v>
      </c>
      <c r="X126" t="s">
        <v>33</v>
      </c>
      <c r="Y126">
        <v>42.96</v>
      </c>
      <c r="Z126" t="s">
        <v>33</v>
      </c>
      <c r="AA126">
        <v>189.77</v>
      </c>
      <c r="AB126" t="s">
        <v>33</v>
      </c>
      <c r="AC126">
        <v>38.340000000000003</v>
      </c>
      <c r="AD126" t="s">
        <v>33</v>
      </c>
    </row>
    <row r="127" spans="1:30" x14ac:dyDescent="0.2">
      <c r="A127" t="s">
        <v>30</v>
      </c>
      <c r="B127" t="s">
        <v>1</v>
      </c>
      <c r="C127" t="s">
        <v>2</v>
      </c>
      <c r="D127" t="s">
        <v>61</v>
      </c>
      <c r="E127" t="s">
        <v>136</v>
      </c>
      <c r="F127" t="s">
        <v>1</v>
      </c>
      <c r="G127" t="s">
        <v>32</v>
      </c>
      <c r="I127" t="s">
        <v>38</v>
      </c>
      <c r="J127" t="s">
        <v>41</v>
      </c>
      <c r="L127">
        <v>5632</v>
      </c>
      <c r="M127">
        <v>20</v>
      </c>
      <c r="N127">
        <v>281.60000000000002</v>
      </c>
      <c r="O127">
        <v>56.32</v>
      </c>
      <c r="P127">
        <v>56.32</v>
      </c>
      <c r="Q127">
        <v>3366</v>
      </c>
      <c r="R127" t="s">
        <v>33</v>
      </c>
      <c r="S127">
        <v>3085</v>
      </c>
      <c r="T127" t="s">
        <v>33</v>
      </c>
      <c r="U127">
        <v>4048</v>
      </c>
      <c r="V127" t="s">
        <v>33</v>
      </c>
      <c r="W127">
        <v>1699.41</v>
      </c>
      <c r="X127" t="s">
        <v>33</v>
      </c>
      <c r="Y127">
        <v>50.48</v>
      </c>
      <c r="Z127" t="s">
        <v>33</v>
      </c>
      <c r="AA127">
        <v>1454.43</v>
      </c>
      <c r="AB127" t="s">
        <v>33</v>
      </c>
      <c r="AC127">
        <v>47.15</v>
      </c>
      <c r="AD127" t="s">
        <v>33</v>
      </c>
    </row>
    <row r="128" spans="1:30" x14ac:dyDescent="0.2">
      <c r="A128" t="s">
        <v>30</v>
      </c>
      <c r="B128" t="s">
        <v>1</v>
      </c>
      <c r="C128" t="s">
        <v>2</v>
      </c>
      <c r="D128" t="s">
        <v>62</v>
      </c>
      <c r="E128" t="s">
        <v>137</v>
      </c>
      <c r="F128" t="s">
        <v>1</v>
      </c>
      <c r="G128" t="s">
        <v>32</v>
      </c>
      <c r="H128" t="s">
        <v>33</v>
      </c>
      <c r="I128" t="s">
        <v>34</v>
      </c>
      <c r="J128" t="s">
        <v>33</v>
      </c>
      <c r="K128" t="s">
        <v>33</v>
      </c>
      <c r="L128">
        <v>10000</v>
      </c>
      <c r="M128">
        <v>4</v>
      </c>
      <c r="N128">
        <v>2500</v>
      </c>
      <c r="O128">
        <v>100</v>
      </c>
      <c r="P128">
        <v>100</v>
      </c>
      <c r="Q128" t="s">
        <v>33</v>
      </c>
      <c r="R128" t="s">
        <v>33</v>
      </c>
      <c r="S128" t="s">
        <v>33</v>
      </c>
      <c r="T128" t="s">
        <v>33</v>
      </c>
      <c r="U128" t="s">
        <v>33</v>
      </c>
      <c r="V128" t="s">
        <v>33</v>
      </c>
      <c r="W128" t="s">
        <v>33</v>
      </c>
      <c r="X128" t="s">
        <v>33</v>
      </c>
      <c r="Y128" t="s">
        <v>33</v>
      </c>
      <c r="Z128" t="s">
        <v>33</v>
      </c>
      <c r="AA128" t="s">
        <v>33</v>
      </c>
      <c r="AB128" t="s">
        <v>33</v>
      </c>
      <c r="AC128" t="s">
        <v>33</v>
      </c>
      <c r="AD128" t="s">
        <v>33</v>
      </c>
    </row>
    <row r="129" spans="1:30" x14ac:dyDescent="0.2">
      <c r="A129" t="s">
        <v>30</v>
      </c>
      <c r="B129" t="s">
        <v>1</v>
      </c>
      <c r="C129" t="s">
        <v>2</v>
      </c>
      <c r="D129" t="s">
        <v>62</v>
      </c>
      <c r="E129" t="s">
        <v>137</v>
      </c>
      <c r="F129" t="s">
        <v>1</v>
      </c>
      <c r="G129" t="s">
        <v>32</v>
      </c>
      <c r="I129" t="s">
        <v>35</v>
      </c>
      <c r="J129" t="s">
        <v>36</v>
      </c>
      <c r="K129" t="s">
        <v>37</v>
      </c>
      <c r="L129">
        <v>10000</v>
      </c>
      <c r="M129">
        <v>4</v>
      </c>
      <c r="N129">
        <v>2500</v>
      </c>
      <c r="O129">
        <v>100</v>
      </c>
      <c r="P129">
        <v>100</v>
      </c>
      <c r="Q129">
        <v>338706</v>
      </c>
      <c r="R129">
        <v>93859</v>
      </c>
      <c r="S129">
        <v>344442</v>
      </c>
      <c r="T129">
        <v>89984</v>
      </c>
      <c r="U129">
        <v>394241</v>
      </c>
      <c r="V129">
        <v>81005</v>
      </c>
      <c r="W129">
        <v>86971.82</v>
      </c>
      <c r="X129">
        <v>31715.45</v>
      </c>
      <c r="Y129">
        <v>25.68</v>
      </c>
      <c r="Z129">
        <v>33.79</v>
      </c>
      <c r="AA129">
        <v>105312.04</v>
      </c>
      <c r="AB129">
        <v>30373.279999999999</v>
      </c>
      <c r="AC129">
        <v>30.57</v>
      </c>
      <c r="AD129">
        <v>33.75</v>
      </c>
    </row>
    <row r="130" spans="1:30" x14ac:dyDescent="0.2">
      <c r="A130" t="s">
        <v>30</v>
      </c>
      <c r="B130" t="s">
        <v>1</v>
      </c>
      <c r="C130" t="s">
        <v>2</v>
      </c>
      <c r="D130" t="s">
        <v>62</v>
      </c>
      <c r="E130" t="s">
        <v>137</v>
      </c>
      <c r="F130" t="s">
        <v>1</v>
      </c>
      <c r="G130" t="s">
        <v>32</v>
      </c>
      <c r="I130" t="s">
        <v>38</v>
      </c>
      <c r="J130" t="s">
        <v>36</v>
      </c>
      <c r="K130" t="s">
        <v>39</v>
      </c>
      <c r="L130">
        <v>5837</v>
      </c>
      <c r="M130">
        <v>4</v>
      </c>
      <c r="N130">
        <v>1459.25</v>
      </c>
      <c r="O130">
        <v>58.37</v>
      </c>
      <c r="P130">
        <v>58.37</v>
      </c>
      <c r="Q130">
        <v>337340</v>
      </c>
      <c r="R130">
        <v>90</v>
      </c>
      <c r="S130">
        <v>341769</v>
      </c>
      <c r="T130">
        <v>90</v>
      </c>
      <c r="U130">
        <v>396326</v>
      </c>
      <c r="V130">
        <v>91</v>
      </c>
      <c r="W130">
        <v>87085.08</v>
      </c>
      <c r="X130">
        <v>7.36</v>
      </c>
      <c r="Y130">
        <v>25.82</v>
      </c>
      <c r="Z130">
        <v>8.16</v>
      </c>
      <c r="AA130">
        <v>105930.29</v>
      </c>
      <c r="AB130">
        <v>7.41</v>
      </c>
      <c r="AC130">
        <v>30.99</v>
      </c>
      <c r="AD130">
        <v>8.24</v>
      </c>
    </row>
    <row r="131" spans="1:30" x14ac:dyDescent="0.2">
      <c r="A131" t="s">
        <v>30</v>
      </c>
      <c r="B131" t="s">
        <v>1</v>
      </c>
      <c r="C131" t="s">
        <v>2</v>
      </c>
      <c r="D131" t="s">
        <v>62</v>
      </c>
      <c r="E131" t="s">
        <v>137</v>
      </c>
      <c r="F131" t="s">
        <v>1</v>
      </c>
      <c r="G131" t="s">
        <v>32</v>
      </c>
      <c r="I131" t="s">
        <v>35</v>
      </c>
      <c r="J131" t="s">
        <v>36</v>
      </c>
      <c r="K131" t="s">
        <v>39</v>
      </c>
      <c r="L131">
        <v>10000</v>
      </c>
      <c r="M131">
        <v>4</v>
      </c>
      <c r="N131">
        <v>2500</v>
      </c>
      <c r="O131">
        <v>100</v>
      </c>
      <c r="P131">
        <v>100</v>
      </c>
      <c r="Q131">
        <v>338706</v>
      </c>
      <c r="R131">
        <v>96</v>
      </c>
      <c r="S131">
        <v>344442</v>
      </c>
      <c r="T131">
        <v>96</v>
      </c>
      <c r="U131">
        <v>394241</v>
      </c>
      <c r="V131">
        <v>96</v>
      </c>
      <c r="W131">
        <v>86971.82</v>
      </c>
      <c r="X131">
        <v>9.81</v>
      </c>
      <c r="Y131">
        <v>25.68</v>
      </c>
      <c r="Z131">
        <v>10.24</v>
      </c>
      <c r="AA131">
        <v>105312.04</v>
      </c>
      <c r="AB131">
        <v>11.86</v>
      </c>
      <c r="AC131">
        <v>30.57</v>
      </c>
      <c r="AD131">
        <v>12.35</v>
      </c>
    </row>
    <row r="132" spans="1:30" x14ac:dyDescent="0.2">
      <c r="A132" t="s">
        <v>30</v>
      </c>
      <c r="B132" t="s">
        <v>1</v>
      </c>
      <c r="C132" t="s">
        <v>2</v>
      </c>
      <c r="D132" t="s">
        <v>62</v>
      </c>
      <c r="E132" t="s">
        <v>137</v>
      </c>
      <c r="F132" t="s">
        <v>1</v>
      </c>
      <c r="G132" t="s">
        <v>32</v>
      </c>
      <c r="I132" t="s">
        <v>38</v>
      </c>
      <c r="J132" t="s">
        <v>40</v>
      </c>
      <c r="L132">
        <v>5837</v>
      </c>
      <c r="M132">
        <v>4</v>
      </c>
      <c r="N132">
        <v>1459.25</v>
      </c>
      <c r="O132">
        <v>58.37</v>
      </c>
      <c r="P132">
        <v>58.37</v>
      </c>
      <c r="Q132">
        <v>414</v>
      </c>
      <c r="R132" t="s">
        <v>33</v>
      </c>
      <c r="S132">
        <v>376</v>
      </c>
      <c r="T132" t="s">
        <v>33</v>
      </c>
      <c r="U132">
        <v>374</v>
      </c>
      <c r="V132" t="s">
        <v>33</v>
      </c>
      <c r="W132">
        <v>237</v>
      </c>
      <c r="X132" t="s">
        <v>33</v>
      </c>
      <c r="Y132">
        <v>57.21</v>
      </c>
      <c r="Z132" t="s">
        <v>33</v>
      </c>
      <c r="AA132">
        <v>154.19</v>
      </c>
      <c r="AB132" t="s">
        <v>33</v>
      </c>
      <c r="AC132">
        <v>41.01</v>
      </c>
      <c r="AD132" t="s">
        <v>33</v>
      </c>
    </row>
    <row r="133" spans="1:30" x14ac:dyDescent="0.2">
      <c r="A133" t="s">
        <v>30</v>
      </c>
      <c r="B133" t="s">
        <v>1</v>
      </c>
      <c r="C133" t="s">
        <v>2</v>
      </c>
      <c r="D133" t="s">
        <v>62</v>
      </c>
      <c r="E133" t="s">
        <v>137</v>
      </c>
      <c r="F133" t="s">
        <v>1</v>
      </c>
      <c r="G133" t="s">
        <v>32</v>
      </c>
      <c r="I133" t="s">
        <v>38</v>
      </c>
      <c r="J133" t="s">
        <v>41</v>
      </c>
      <c r="L133">
        <v>5837</v>
      </c>
      <c r="M133">
        <v>4</v>
      </c>
      <c r="N133">
        <v>1459.25</v>
      </c>
      <c r="O133">
        <v>58.37</v>
      </c>
      <c r="P133">
        <v>58.37</v>
      </c>
      <c r="Q133">
        <v>2267</v>
      </c>
      <c r="R133" t="s">
        <v>33</v>
      </c>
      <c r="S133">
        <v>2005</v>
      </c>
      <c r="T133" t="s">
        <v>33</v>
      </c>
      <c r="U133">
        <v>1680</v>
      </c>
      <c r="V133" t="s">
        <v>33</v>
      </c>
      <c r="W133">
        <v>1236.3900000000001</v>
      </c>
      <c r="X133" t="s">
        <v>33</v>
      </c>
      <c r="Y133">
        <v>54.53</v>
      </c>
      <c r="Z133" t="s">
        <v>33</v>
      </c>
      <c r="AA133">
        <v>996.31</v>
      </c>
      <c r="AB133" t="s">
        <v>33</v>
      </c>
      <c r="AC133">
        <v>49.69</v>
      </c>
      <c r="AD133" t="s">
        <v>33</v>
      </c>
    </row>
    <row r="134" spans="1:30" x14ac:dyDescent="0.2">
      <c r="A134" t="s">
        <v>30</v>
      </c>
      <c r="B134" t="s">
        <v>1</v>
      </c>
      <c r="C134" t="s">
        <v>2</v>
      </c>
      <c r="D134" t="s">
        <v>63</v>
      </c>
      <c r="E134" t="s">
        <v>139</v>
      </c>
      <c r="F134" t="s">
        <v>1</v>
      </c>
      <c r="G134" t="s">
        <v>32</v>
      </c>
      <c r="H134" t="s">
        <v>33</v>
      </c>
      <c r="I134" t="s">
        <v>34</v>
      </c>
      <c r="J134" t="s">
        <v>33</v>
      </c>
      <c r="K134" t="s">
        <v>33</v>
      </c>
      <c r="L134">
        <v>10000</v>
      </c>
      <c r="M134">
        <v>4</v>
      </c>
      <c r="N134">
        <v>2500</v>
      </c>
      <c r="O134">
        <v>100</v>
      </c>
      <c r="P134">
        <v>100</v>
      </c>
      <c r="Q134" t="s">
        <v>33</v>
      </c>
      <c r="R134" t="s">
        <v>33</v>
      </c>
      <c r="S134" t="s">
        <v>33</v>
      </c>
      <c r="T134" t="s">
        <v>33</v>
      </c>
      <c r="U134" t="s">
        <v>33</v>
      </c>
      <c r="V134" t="s">
        <v>33</v>
      </c>
      <c r="W134" t="s">
        <v>33</v>
      </c>
      <c r="X134" t="s">
        <v>33</v>
      </c>
      <c r="Y134" t="s">
        <v>33</v>
      </c>
      <c r="Z134" t="s">
        <v>33</v>
      </c>
      <c r="AA134" t="s">
        <v>33</v>
      </c>
      <c r="AB134" t="s">
        <v>33</v>
      </c>
      <c r="AC134" t="s">
        <v>33</v>
      </c>
      <c r="AD134" t="s">
        <v>33</v>
      </c>
    </row>
    <row r="135" spans="1:30" x14ac:dyDescent="0.2">
      <c r="A135" t="s">
        <v>30</v>
      </c>
      <c r="B135" t="s">
        <v>1</v>
      </c>
      <c r="C135" t="s">
        <v>2</v>
      </c>
      <c r="D135" t="s">
        <v>63</v>
      </c>
      <c r="E135" t="s">
        <v>139</v>
      </c>
      <c r="F135" t="s">
        <v>1</v>
      </c>
      <c r="G135" t="s">
        <v>32</v>
      </c>
      <c r="I135" t="s">
        <v>35</v>
      </c>
      <c r="J135" t="s">
        <v>36</v>
      </c>
      <c r="K135" t="s">
        <v>37</v>
      </c>
      <c r="L135">
        <v>10000</v>
      </c>
      <c r="M135">
        <v>4</v>
      </c>
      <c r="N135">
        <v>2500</v>
      </c>
      <c r="O135">
        <v>100</v>
      </c>
      <c r="P135">
        <v>100</v>
      </c>
      <c r="Q135">
        <v>333466</v>
      </c>
      <c r="R135">
        <v>91852</v>
      </c>
      <c r="S135">
        <v>335297</v>
      </c>
      <c r="T135">
        <v>87240</v>
      </c>
      <c r="U135">
        <v>267376</v>
      </c>
      <c r="V135">
        <v>76831</v>
      </c>
      <c r="W135">
        <v>88622.89</v>
      </c>
      <c r="X135">
        <v>31836.880000000001</v>
      </c>
      <c r="Y135">
        <v>26.58</v>
      </c>
      <c r="Z135">
        <v>34.659999999999997</v>
      </c>
      <c r="AA135">
        <v>108629.36</v>
      </c>
      <c r="AB135">
        <v>30033.77</v>
      </c>
      <c r="AC135">
        <v>32.4</v>
      </c>
      <c r="AD135">
        <v>34.43</v>
      </c>
    </row>
    <row r="136" spans="1:30" x14ac:dyDescent="0.2">
      <c r="A136" t="s">
        <v>30</v>
      </c>
      <c r="B136" t="s">
        <v>1</v>
      </c>
      <c r="C136" t="s">
        <v>2</v>
      </c>
      <c r="D136" t="s">
        <v>63</v>
      </c>
      <c r="E136" t="s">
        <v>139</v>
      </c>
      <c r="F136" t="s">
        <v>1</v>
      </c>
      <c r="G136" t="s">
        <v>32</v>
      </c>
      <c r="I136" t="s">
        <v>38</v>
      </c>
      <c r="J136" t="s">
        <v>36</v>
      </c>
      <c r="K136" t="s">
        <v>39</v>
      </c>
      <c r="L136">
        <v>5839</v>
      </c>
      <c r="M136">
        <v>4</v>
      </c>
      <c r="N136">
        <v>1459.75</v>
      </c>
      <c r="O136">
        <v>58.39</v>
      </c>
      <c r="P136">
        <v>58.39</v>
      </c>
      <c r="Q136">
        <v>333525</v>
      </c>
      <c r="R136">
        <v>90</v>
      </c>
      <c r="S136">
        <v>334693</v>
      </c>
      <c r="T136">
        <v>89</v>
      </c>
      <c r="U136">
        <v>426732</v>
      </c>
      <c r="V136">
        <v>89</v>
      </c>
      <c r="W136">
        <v>87736.68</v>
      </c>
      <c r="X136">
        <v>7.28</v>
      </c>
      <c r="Y136">
        <v>26.31</v>
      </c>
      <c r="Z136">
        <v>8.11</v>
      </c>
      <c r="AA136">
        <v>108942.93</v>
      </c>
      <c r="AB136">
        <v>7.41</v>
      </c>
      <c r="AC136">
        <v>32.549999999999997</v>
      </c>
      <c r="AD136">
        <v>8.33</v>
      </c>
    </row>
    <row r="137" spans="1:30" x14ac:dyDescent="0.2">
      <c r="A137" t="s">
        <v>30</v>
      </c>
      <c r="B137" t="s">
        <v>1</v>
      </c>
      <c r="C137" t="s">
        <v>2</v>
      </c>
      <c r="D137" t="s">
        <v>63</v>
      </c>
      <c r="E137" t="s">
        <v>139</v>
      </c>
      <c r="F137" t="s">
        <v>1</v>
      </c>
      <c r="G137" t="s">
        <v>32</v>
      </c>
      <c r="I137" t="s">
        <v>35</v>
      </c>
      <c r="J137" t="s">
        <v>36</v>
      </c>
      <c r="K137" t="s">
        <v>39</v>
      </c>
      <c r="L137">
        <v>10000</v>
      </c>
      <c r="M137">
        <v>4</v>
      </c>
      <c r="N137">
        <v>2500</v>
      </c>
      <c r="O137">
        <v>100</v>
      </c>
      <c r="P137">
        <v>100</v>
      </c>
      <c r="Q137">
        <v>333466</v>
      </c>
      <c r="R137">
        <v>95</v>
      </c>
      <c r="S137">
        <v>335297</v>
      </c>
      <c r="T137">
        <v>95</v>
      </c>
      <c r="U137">
        <v>267376</v>
      </c>
      <c r="V137">
        <v>95</v>
      </c>
      <c r="W137">
        <v>88622.89</v>
      </c>
      <c r="X137">
        <v>9.9</v>
      </c>
      <c r="Y137">
        <v>26.58</v>
      </c>
      <c r="Z137">
        <v>10.38</v>
      </c>
      <c r="AA137">
        <v>108629.36</v>
      </c>
      <c r="AB137">
        <v>10.38</v>
      </c>
      <c r="AC137">
        <v>32.4</v>
      </c>
      <c r="AD137">
        <v>10.92</v>
      </c>
    </row>
    <row r="138" spans="1:30" x14ac:dyDescent="0.2">
      <c r="A138" t="s">
        <v>30</v>
      </c>
      <c r="B138" t="s">
        <v>1</v>
      </c>
      <c r="C138" t="s">
        <v>2</v>
      </c>
      <c r="D138" t="s">
        <v>63</v>
      </c>
      <c r="E138" t="s">
        <v>139</v>
      </c>
      <c r="F138" t="s">
        <v>1</v>
      </c>
      <c r="G138" t="s">
        <v>32</v>
      </c>
      <c r="I138" t="s">
        <v>38</v>
      </c>
      <c r="J138" t="s">
        <v>40</v>
      </c>
      <c r="L138">
        <v>5839</v>
      </c>
      <c r="M138">
        <v>4</v>
      </c>
      <c r="N138">
        <v>1459.75</v>
      </c>
      <c r="O138">
        <v>58.39</v>
      </c>
      <c r="P138">
        <v>58.39</v>
      </c>
      <c r="Q138">
        <v>390</v>
      </c>
      <c r="R138" t="s">
        <v>33</v>
      </c>
      <c r="S138">
        <v>364</v>
      </c>
      <c r="T138" t="s">
        <v>33</v>
      </c>
      <c r="U138">
        <v>374</v>
      </c>
      <c r="V138" t="s">
        <v>33</v>
      </c>
      <c r="W138">
        <v>167.56</v>
      </c>
      <c r="X138" t="s">
        <v>33</v>
      </c>
      <c r="Y138">
        <v>43</v>
      </c>
      <c r="Z138" t="s">
        <v>33</v>
      </c>
      <c r="AA138">
        <v>146.78</v>
      </c>
      <c r="AB138" t="s">
        <v>33</v>
      </c>
      <c r="AC138">
        <v>40.32</v>
      </c>
      <c r="AD138" t="s">
        <v>33</v>
      </c>
    </row>
    <row r="139" spans="1:30" x14ac:dyDescent="0.2">
      <c r="A139" t="s">
        <v>30</v>
      </c>
      <c r="B139" t="s">
        <v>1</v>
      </c>
      <c r="C139" t="s">
        <v>2</v>
      </c>
      <c r="D139" t="s">
        <v>63</v>
      </c>
      <c r="E139" t="s">
        <v>139</v>
      </c>
      <c r="F139" t="s">
        <v>1</v>
      </c>
      <c r="G139" t="s">
        <v>32</v>
      </c>
      <c r="I139" t="s">
        <v>38</v>
      </c>
      <c r="J139" t="s">
        <v>41</v>
      </c>
      <c r="L139">
        <v>5839</v>
      </c>
      <c r="M139">
        <v>4</v>
      </c>
      <c r="N139">
        <v>1459.75</v>
      </c>
      <c r="O139">
        <v>58.39</v>
      </c>
      <c r="P139">
        <v>58.39</v>
      </c>
      <c r="Q139">
        <v>12570</v>
      </c>
      <c r="R139" t="s">
        <v>33</v>
      </c>
      <c r="S139">
        <v>11551</v>
      </c>
      <c r="T139" t="s">
        <v>33</v>
      </c>
      <c r="U139">
        <v>11331</v>
      </c>
      <c r="V139" t="s">
        <v>33</v>
      </c>
      <c r="W139">
        <v>5750.7</v>
      </c>
      <c r="X139" t="s">
        <v>33</v>
      </c>
      <c r="Y139">
        <v>45.75</v>
      </c>
      <c r="Z139" t="s">
        <v>33</v>
      </c>
      <c r="AA139">
        <v>4991.91</v>
      </c>
      <c r="AB139" t="s">
        <v>33</v>
      </c>
      <c r="AC139">
        <v>43.22</v>
      </c>
      <c r="AD139" t="s">
        <v>33</v>
      </c>
    </row>
    <row r="140" spans="1:30" x14ac:dyDescent="0.2">
      <c r="A140" t="s">
        <v>30</v>
      </c>
      <c r="B140" t="s">
        <v>1</v>
      </c>
      <c r="C140" t="s">
        <v>2</v>
      </c>
      <c r="D140" t="s">
        <v>64</v>
      </c>
      <c r="E140" t="s">
        <v>140</v>
      </c>
      <c r="F140" t="s">
        <v>1</v>
      </c>
      <c r="G140" t="s">
        <v>32</v>
      </c>
      <c r="H140" t="s">
        <v>33</v>
      </c>
      <c r="I140" t="s">
        <v>34</v>
      </c>
      <c r="J140" t="s">
        <v>33</v>
      </c>
      <c r="K140" t="s">
        <v>33</v>
      </c>
      <c r="L140">
        <v>10000</v>
      </c>
      <c r="M140">
        <v>3</v>
      </c>
      <c r="N140">
        <v>3333.3330000000001</v>
      </c>
      <c r="O140">
        <v>100</v>
      </c>
      <c r="P140">
        <v>100</v>
      </c>
      <c r="Q140" t="s">
        <v>33</v>
      </c>
      <c r="R140" t="s">
        <v>33</v>
      </c>
      <c r="S140" t="s">
        <v>33</v>
      </c>
      <c r="T140" t="s">
        <v>33</v>
      </c>
      <c r="U140" t="s">
        <v>33</v>
      </c>
      <c r="V140" t="s">
        <v>33</v>
      </c>
      <c r="W140" t="s">
        <v>33</v>
      </c>
      <c r="X140" t="s">
        <v>33</v>
      </c>
      <c r="Y140" t="s">
        <v>33</v>
      </c>
      <c r="Z140" t="s">
        <v>33</v>
      </c>
      <c r="AA140" t="s">
        <v>33</v>
      </c>
      <c r="AB140" t="s">
        <v>33</v>
      </c>
      <c r="AC140" t="s">
        <v>33</v>
      </c>
      <c r="AD140" t="s">
        <v>33</v>
      </c>
    </row>
    <row r="141" spans="1:30" x14ac:dyDescent="0.2">
      <c r="A141" t="s">
        <v>30</v>
      </c>
      <c r="B141" t="s">
        <v>1</v>
      </c>
      <c r="C141" t="s">
        <v>2</v>
      </c>
      <c r="D141" t="s">
        <v>64</v>
      </c>
      <c r="E141" t="s">
        <v>140</v>
      </c>
      <c r="F141" t="s">
        <v>1</v>
      </c>
      <c r="G141" t="s">
        <v>32</v>
      </c>
      <c r="I141" t="s">
        <v>35</v>
      </c>
      <c r="J141" t="s">
        <v>36</v>
      </c>
      <c r="K141" t="s">
        <v>37</v>
      </c>
      <c r="L141">
        <v>10000</v>
      </c>
      <c r="M141">
        <v>3</v>
      </c>
      <c r="N141">
        <v>3333.3330000000001</v>
      </c>
      <c r="O141">
        <v>100</v>
      </c>
      <c r="P141">
        <v>100</v>
      </c>
      <c r="Q141">
        <v>335773</v>
      </c>
      <c r="R141">
        <v>92598</v>
      </c>
      <c r="S141">
        <v>339061</v>
      </c>
      <c r="T141">
        <v>88067</v>
      </c>
      <c r="U141">
        <v>428958</v>
      </c>
      <c r="V141">
        <v>86946</v>
      </c>
      <c r="W141">
        <v>86931.89</v>
      </c>
      <c r="X141">
        <v>31857.54</v>
      </c>
      <c r="Y141">
        <v>25.89</v>
      </c>
      <c r="Z141">
        <v>34.4</v>
      </c>
      <c r="AA141">
        <v>105407.67</v>
      </c>
      <c r="AB141">
        <v>29722.42</v>
      </c>
      <c r="AC141">
        <v>31.09</v>
      </c>
      <c r="AD141">
        <v>33.75</v>
      </c>
    </row>
    <row r="142" spans="1:30" x14ac:dyDescent="0.2">
      <c r="A142" t="s">
        <v>30</v>
      </c>
      <c r="B142" t="s">
        <v>1</v>
      </c>
      <c r="C142" t="s">
        <v>2</v>
      </c>
      <c r="D142" t="s">
        <v>64</v>
      </c>
      <c r="E142" t="s">
        <v>140</v>
      </c>
      <c r="F142" t="s">
        <v>1</v>
      </c>
      <c r="G142" t="s">
        <v>32</v>
      </c>
      <c r="I142" t="s">
        <v>38</v>
      </c>
      <c r="J142" t="s">
        <v>36</v>
      </c>
      <c r="K142" t="s">
        <v>39</v>
      </c>
      <c r="L142">
        <v>5322</v>
      </c>
      <c r="M142">
        <v>3</v>
      </c>
      <c r="N142">
        <v>1774</v>
      </c>
      <c r="O142">
        <v>53.22</v>
      </c>
      <c r="P142">
        <v>53.22</v>
      </c>
      <c r="Q142">
        <v>338045</v>
      </c>
      <c r="R142">
        <v>90</v>
      </c>
      <c r="S142">
        <v>340447</v>
      </c>
      <c r="T142">
        <v>89</v>
      </c>
      <c r="U142">
        <v>402387</v>
      </c>
      <c r="V142">
        <v>90</v>
      </c>
      <c r="W142">
        <v>85467.62</v>
      </c>
      <c r="X142">
        <v>7.44</v>
      </c>
      <c r="Y142">
        <v>25.28</v>
      </c>
      <c r="Z142">
        <v>8.31</v>
      </c>
      <c r="AA142">
        <v>102682.65</v>
      </c>
      <c r="AB142">
        <v>8.9</v>
      </c>
      <c r="AC142">
        <v>30.16</v>
      </c>
      <c r="AD142">
        <v>10</v>
      </c>
    </row>
    <row r="143" spans="1:30" x14ac:dyDescent="0.2">
      <c r="A143" t="s">
        <v>30</v>
      </c>
      <c r="B143" t="s">
        <v>1</v>
      </c>
      <c r="C143" t="s">
        <v>2</v>
      </c>
      <c r="D143" t="s">
        <v>64</v>
      </c>
      <c r="E143" t="s">
        <v>140</v>
      </c>
      <c r="F143" t="s">
        <v>1</v>
      </c>
      <c r="G143" t="s">
        <v>32</v>
      </c>
      <c r="I143" t="s">
        <v>35</v>
      </c>
      <c r="J143" t="s">
        <v>36</v>
      </c>
      <c r="K143" t="s">
        <v>39</v>
      </c>
      <c r="L143">
        <v>10000</v>
      </c>
      <c r="M143">
        <v>3</v>
      </c>
      <c r="N143">
        <v>3333.3330000000001</v>
      </c>
      <c r="O143">
        <v>100</v>
      </c>
      <c r="P143">
        <v>100</v>
      </c>
      <c r="Q143">
        <v>335773</v>
      </c>
      <c r="R143">
        <v>96</v>
      </c>
      <c r="S143">
        <v>339061</v>
      </c>
      <c r="T143">
        <v>95</v>
      </c>
      <c r="U143">
        <v>428958</v>
      </c>
      <c r="V143">
        <v>93</v>
      </c>
      <c r="W143">
        <v>86931.89</v>
      </c>
      <c r="X143">
        <v>10.09</v>
      </c>
      <c r="Y143">
        <v>25.89</v>
      </c>
      <c r="Z143">
        <v>10.54</v>
      </c>
      <c r="AA143">
        <v>105407.67</v>
      </c>
      <c r="AB143">
        <v>11.86</v>
      </c>
      <c r="AC143">
        <v>31.09</v>
      </c>
      <c r="AD143">
        <v>12.49</v>
      </c>
    </row>
    <row r="144" spans="1:30" x14ac:dyDescent="0.2">
      <c r="A144" t="s">
        <v>30</v>
      </c>
      <c r="B144" t="s">
        <v>1</v>
      </c>
      <c r="C144" t="s">
        <v>2</v>
      </c>
      <c r="D144" t="s">
        <v>64</v>
      </c>
      <c r="E144" t="s">
        <v>140</v>
      </c>
      <c r="F144" t="s">
        <v>1</v>
      </c>
      <c r="G144" t="s">
        <v>32</v>
      </c>
      <c r="I144" t="s">
        <v>38</v>
      </c>
      <c r="J144" t="s">
        <v>40</v>
      </c>
      <c r="L144">
        <v>5322</v>
      </c>
      <c r="M144">
        <v>3</v>
      </c>
      <c r="N144">
        <v>1774</v>
      </c>
      <c r="O144">
        <v>53.22</v>
      </c>
      <c r="P144">
        <v>53.22</v>
      </c>
      <c r="Q144">
        <v>398</v>
      </c>
      <c r="R144" t="s">
        <v>33</v>
      </c>
      <c r="S144">
        <v>376</v>
      </c>
      <c r="T144" t="s">
        <v>33</v>
      </c>
      <c r="U144">
        <v>433</v>
      </c>
      <c r="V144" t="s">
        <v>33</v>
      </c>
      <c r="W144">
        <v>169.57</v>
      </c>
      <c r="X144" t="s">
        <v>33</v>
      </c>
      <c r="Y144">
        <v>42.62</v>
      </c>
      <c r="Z144" t="s">
        <v>33</v>
      </c>
      <c r="AA144">
        <v>151.97</v>
      </c>
      <c r="AB144" t="s">
        <v>33</v>
      </c>
      <c r="AC144">
        <v>40.42</v>
      </c>
      <c r="AD144" t="s">
        <v>33</v>
      </c>
    </row>
    <row r="145" spans="1:30" x14ac:dyDescent="0.2">
      <c r="A145" t="s">
        <v>30</v>
      </c>
      <c r="B145" t="s">
        <v>1</v>
      </c>
      <c r="C145" t="s">
        <v>2</v>
      </c>
      <c r="D145" t="s">
        <v>64</v>
      </c>
      <c r="E145" t="s">
        <v>140</v>
      </c>
      <c r="F145" t="s">
        <v>1</v>
      </c>
      <c r="G145" t="s">
        <v>32</v>
      </c>
      <c r="I145" t="s">
        <v>38</v>
      </c>
      <c r="J145" t="s">
        <v>41</v>
      </c>
      <c r="L145">
        <v>5322</v>
      </c>
      <c r="M145">
        <v>3</v>
      </c>
      <c r="N145">
        <v>1774</v>
      </c>
      <c r="O145">
        <v>53.22</v>
      </c>
      <c r="P145">
        <v>53.22</v>
      </c>
      <c r="Q145">
        <v>12425</v>
      </c>
      <c r="R145" t="s">
        <v>33</v>
      </c>
      <c r="S145">
        <v>11468</v>
      </c>
      <c r="T145" t="s">
        <v>33</v>
      </c>
      <c r="U145">
        <v>13509</v>
      </c>
      <c r="V145" t="s">
        <v>33</v>
      </c>
      <c r="W145">
        <v>5573.71</v>
      </c>
      <c r="X145" t="s">
        <v>33</v>
      </c>
      <c r="Y145">
        <v>44.86</v>
      </c>
      <c r="Z145" t="s">
        <v>33</v>
      </c>
      <c r="AA145">
        <v>5107.5600000000004</v>
      </c>
      <c r="AB145" t="s">
        <v>33</v>
      </c>
      <c r="AC145">
        <v>44.54</v>
      </c>
      <c r="AD145" t="s">
        <v>33</v>
      </c>
    </row>
    <row r="146" spans="1:30" x14ac:dyDescent="0.2">
      <c r="A146" t="s">
        <v>30</v>
      </c>
      <c r="B146" t="s">
        <v>1</v>
      </c>
      <c r="C146" t="s">
        <v>2</v>
      </c>
      <c r="D146" t="s">
        <v>65</v>
      </c>
      <c r="E146" t="s">
        <v>141</v>
      </c>
      <c r="F146" t="s">
        <v>1</v>
      </c>
      <c r="G146" t="s">
        <v>32</v>
      </c>
      <c r="H146" t="s">
        <v>33</v>
      </c>
      <c r="I146" t="s">
        <v>34</v>
      </c>
      <c r="J146" t="s">
        <v>33</v>
      </c>
      <c r="K146" t="s">
        <v>33</v>
      </c>
      <c r="L146">
        <v>10000</v>
      </c>
      <c r="M146">
        <v>5</v>
      </c>
      <c r="N146">
        <v>2000</v>
      </c>
      <c r="O146">
        <v>100</v>
      </c>
      <c r="P146">
        <v>100</v>
      </c>
      <c r="Q146" t="s">
        <v>33</v>
      </c>
      <c r="R146" t="s">
        <v>33</v>
      </c>
      <c r="S146" t="s">
        <v>33</v>
      </c>
      <c r="T146" t="s">
        <v>33</v>
      </c>
      <c r="U146" t="s">
        <v>33</v>
      </c>
      <c r="V146" t="s">
        <v>33</v>
      </c>
      <c r="W146" t="s">
        <v>33</v>
      </c>
      <c r="X146" t="s">
        <v>33</v>
      </c>
      <c r="Y146" t="s">
        <v>33</v>
      </c>
      <c r="Z146" t="s">
        <v>33</v>
      </c>
      <c r="AA146" t="s">
        <v>33</v>
      </c>
      <c r="AB146" t="s">
        <v>33</v>
      </c>
      <c r="AC146" t="s">
        <v>33</v>
      </c>
      <c r="AD146" t="s">
        <v>33</v>
      </c>
    </row>
    <row r="147" spans="1:30" x14ac:dyDescent="0.2">
      <c r="A147" t="s">
        <v>30</v>
      </c>
      <c r="B147" t="s">
        <v>1</v>
      </c>
      <c r="C147" t="s">
        <v>2</v>
      </c>
      <c r="D147" t="s">
        <v>65</v>
      </c>
      <c r="E147" t="s">
        <v>141</v>
      </c>
      <c r="F147" t="s">
        <v>1</v>
      </c>
      <c r="G147" t="s">
        <v>32</v>
      </c>
      <c r="I147" t="s">
        <v>35</v>
      </c>
      <c r="J147" t="s">
        <v>36</v>
      </c>
      <c r="K147" t="s">
        <v>37</v>
      </c>
      <c r="L147">
        <v>10000</v>
      </c>
      <c r="M147">
        <v>5</v>
      </c>
      <c r="N147">
        <v>2000</v>
      </c>
      <c r="O147">
        <v>100</v>
      </c>
      <c r="P147">
        <v>100</v>
      </c>
      <c r="Q147">
        <v>343860</v>
      </c>
      <c r="R147">
        <v>92933</v>
      </c>
      <c r="S147">
        <v>347372</v>
      </c>
      <c r="T147">
        <v>89363</v>
      </c>
      <c r="U147">
        <v>429031</v>
      </c>
      <c r="V147">
        <v>91088</v>
      </c>
      <c r="W147">
        <v>84844.94</v>
      </c>
      <c r="X147">
        <v>30559.31</v>
      </c>
      <c r="Y147">
        <v>24.67</v>
      </c>
      <c r="Z147">
        <v>32.880000000000003</v>
      </c>
      <c r="AA147">
        <v>103970.29</v>
      </c>
      <c r="AB147">
        <v>28692.02</v>
      </c>
      <c r="AC147">
        <v>29.93</v>
      </c>
      <c r="AD147">
        <v>32.11</v>
      </c>
    </row>
    <row r="148" spans="1:30" x14ac:dyDescent="0.2">
      <c r="A148" t="s">
        <v>30</v>
      </c>
      <c r="B148" t="s">
        <v>1</v>
      </c>
      <c r="C148" t="s">
        <v>2</v>
      </c>
      <c r="D148" t="s">
        <v>65</v>
      </c>
      <c r="E148" t="s">
        <v>141</v>
      </c>
      <c r="F148" t="s">
        <v>1</v>
      </c>
      <c r="G148" t="s">
        <v>32</v>
      </c>
      <c r="I148" t="s">
        <v>38</v>
      </c>
      <c r="J148" t="s">
        <v>36</v>
      </c>
      <c r="K148" t="s">
        <v>39</v>
      </c>
      <c r="L148">
        <v>5434</v>
      </c>
      <c r="M148">
        <v>5</v>
      </c>
      <c r="N148">
        <v>1086.8</v>
      </c>
      <c r="O148">
        <v>54.34</v>
      </c>
      <c r="P148">
        <v>54.34</v>
      </c>
      <c r="Q148">
        <v>345840</v>
      </c>
      <c r="R148">
        <v>90</v>
      </c>
      <c r="S148">
        <v>349450</v>
      </c>
      <c r="T148">
        <v>90</v>
      </c>
      <c r="U148">
        <v>391977</v>
      </c>
      <c r="V148">
        <v>90</v>
      </c>
      <c r="W148">
        <v>83991.87</v>
      </c>
      <c r="X148">
        <v>7.28</v>
      </c>
      <c r="Y148">
        <v>24.29</v>
      </c>
      <c r="Z148">
        <v>8.06</v>
      </c>
      <c r="AA148">
        <v>101263.8</v>
      </c>
      <c r="AB148">
        <v>7.41</v>
      </c>
      <c r="AC148">
        <v>28.98</v>
      </c>
      <c r="AD148">
        <v>8.24</v>
      </c>
    </row>
    <row r="149" spans="1:30" x14ac:dyDescent="0.2">
      <c r="A149" t="s">
        <v>30</v>
      </c>
      <c r="B149" t="s">
        <v>1</v>
      </c>
      <c r="C149" t="s">
        <v>2</v>
      </c>
      <c r="D149" t="s">
        <v>65</v>
      </c>
      <c r="E149" t="s">
        <v>141</v>
      </c>
      <c r="F149" t="s">
        <v>1</v>
      </c>
      <c r="G149" t="s">
        <v>32</v>
      </c>
      <c r="I149" t="s">
        <v>35</v>
      </c>
      <c r="J149" t="s">
        <v>36</v>
      </c>
      <c r="K149" t="s">
        <v>39</v>
      </c>
      <c r="L149">
        <v>10000</v>
      </c>
      <c r="M149">
        <v>5</v>
      </c>
      <c r="N149">
        <v>2000</v>
      </c>
      <c r="O149">
        <v>100</v>
      </c>
      <c r="P149">
        <v>100</v>
      </c>
      <c r="Q149">
        <v>343860</v>
      </c>
      <c r="R149">
        <v>96</v>
      </c>
      <c r="S149">
        <v>347372</v>
      </c>
      <c r="T149">
        <v>96</v>
      </c>
      <c r="U149">
        <v>429031</v>
      </c>
      <c r="V149">
        <v>96</v>
      </c>
      <c r="W149">
        <v>84844.94</v>
      </c>
      <c r="X149">
        <v>9.7799999999999994</v>
      </c>
      <c r="Y149">
        <v>24.67</v>
      </c>
      <c r="Z149">
        <v>10.19</v>
      </c>
      <c r="AA149">
        <v>103970.29</v>
      </c>
      <c r="AB149">
        <v>10.38</v>
      </c>
      <c r="AC149">
        <v>29.93</v>
      </c>
      <c r="AD149">
        <v>10.81</v>
      </c>
    </row>
    <row r="150" spans="1:30" x14ac:dyDescent="0.2">
      <c r="A150" t="s">
        <v>30</v>
      </c>
      <c r="B150" t="s">
        <v>1</v>
      </c>
      <c r="C150" t="s">
        <v>2</v>
      </c>
      <c r="D150" t="s">
        <v>65</v>
      </c>
      <c r="E150" t="s">
        <v>141</v>
      </c>
      <c r="F150" t="s">
        <v>1</v>
      </c>
      <c r="G150" t="s">
        <v>32</v>
      </c>
      <c r="I150" t="s">
        <v>38</v>
      </c>
      <c r="J150" t="s">
        <v>40</v>
      </c>
      <c r="L150">
        <v>5434</v>
      </c>
      <c r="M150">
        <v>5</v>
      </c>
      <c r="N150">
        <v>1086.8</v>
      </c>
      <c r="O150">
        <v>54.34</v>
      </c>
      <c r="P150">
        <v>54.34</v>
      </c>
      <c r="Q150">
        <v>418</v>
      </c>
      <c r="R150" t="s">
        <v>33</v>
      </c>
      <c r="S150">
        <v>388</v>
      </c>
      <c r="T150" t="s">
        <v>33</v>
      </c>
      <c r="U150">
        <v>373</v>
      </c>
      <c r="V150" t="s">
        <v>33</v>
      </c>
      <c r="W150">
        <v>181.12</v>
      </c>
      <c r="X150" t="s">
        <v>33</v>
      </c>
      <c r="Y150">
        <v>43.3</v>
      </c>
      <c r="Z150" t="s">
        <v>33</v>
      </c>
      <c r="AA150">
        <v>157.16</v>
      </c>
      <c r="AB150" t="s">
        <v>33</v>
      </c>
      <c r="AC150">
        <v>40.5</v>
      </c>
      <c r="AD150" t="s">
        <v>33</v>
      </c>
    </row>
    <row r="151" spans="1:30" x14ac:dyDescent="0.2">
      <c r="A151" t="s">
        <v>30</v>
      </c>
      <c r="B151" t="s">
        <v>1</v>
      </c>
      <c r="C151" t="s">
        <v>2</v>
      </c>
      <c r="D151" t="s">
        <v>65</v>
      </c>
      <c r="E151" t="s">
        <v>141</v>
      </c>
      <c r="F151" t="s">
        <v>1</v>
      </c>
      <c r="G151" t="s">
        <v>32</v>
      </c>
      <c r="I151" t="s">
        <v>38</v>
      </c>
      <c r="J151" t="s">
        <v>41</v>
      </c>
      <c r="L151">
        <v>5434</v>
      </c>
      <c r="M151">
        <v>5</v>
      </c>
      <c r="N151">
        <v>1086.8</v>
      </c>
      <c r="O151">
        <v>54.34</v>
      </c>
      <c r="P151">
        <v>54.34</v>
      </c>
      <c r="Q151">
        <v>14144</v>
      </c>
      <c r="R151" t="s">
        <v>33</v>
      </c>
      <c r="S151">
        <v>13201</v>
      </c>
      <c r="T151" t="s">
        <v>33</v>
      </c>
      <c r="U151">
        <v>11629</v>
      </c>
      <c r="V151" t="s">
        <v>33</v>
      </c>
      <c r="W151">
        <v>5701.15</v>
      </c>
      <c r="X151" t="s">
        <v>33</v>
      </c>
      <c r="Y151">
        <v>40.31</v>
      </c>
      <c r="Z151" t="s">
        <v>33</v>
      </c>
      <c r="AA151">
        <v>5099.3999999999996</v>
      </c>
      <c r="AB151" t="s">
        <v>33</v>
      </c>
      <c r="AC151">
        <v>38.630000000000003</v>
      </c>
      <c r="AD151" t="s">
        <v>33</v>
      </c>
    </row>
    <row r="152" spans="1:30" x14ac:dyDescent="0.2">
      <c r="A152" t="s">
        <v>30</v>
      </c>
      <c r="B152" t="s">
        <v>1</v>
      </c>
      <c r="C152" t="s">
        <v>2</v>
      </c>
      <c r="D152" t="s">
        <v>66</v>
      </c>
      <c r="E152" t="s">
        <v>142</v>
      </c>
      <c r="F152" t="s">
        <v>1</v>
      </c>
      <c r="G152" t="s">
        <v>32</v>
      </c>
      <c r="H152" t="s">
        <v>33</v>
      </c>
      <c r="I152" t="s">
        <v>34</v>
      </c>
      <c r="J152" t="s">
        <v>33</v>
      </c>
      <c r="K152" t="s">
        <v>33</v>
      </c>
      <c r="L152">
        <v>10000</v>
      </c>
      <c r="M152">
        <v>3</v>
      </c>
      <c r="N152">
        <v>3333.3330000000001</v>
      </c>
      <c r="O152">
        <v>100</v>
      </c>
      <c r="P152">
        <v>100</v>
      </c>
      <c r="Q152" t="s">
        <v>33</v>
      </c>
      <c r="R152" t="s">
        <v>33</v>
      </c>
      <c r="S152" t="s">
        <v>33</v>
      </c>
      <c r="T152" t="s">
        <v>33</v>
      </c>
      <c r="U152" t="s">
        <v>33</v>
      </c>
      <c r="V152" t="s">
        <v>33</v>
      </c>
      <c r="W152" t="s">
        <v>33</v>
      </c>
      <c r="X152" t="s">
        <v>33</v>
      </c>
      <c r="Y152" t="s">
        <v>33</v>
      </c>
      <c r="Z152" t="s">
        <v>33</v>
      </c>
      <c r="AA152" t="s">
        <v>33</v>
      </c>
      <c r="AB152" t="s">
        <v>33</v>
      </c>
      <c r="AC152" t="s">
        <v>33</v>
      </c>
      <c r="AD152" t="s">
        <v>33</v>
      </c>
    </row>
    <row r="153" spans="1:30" x14ac:dyDescent="0.2">
      <c r="A153" t="s">
        <v>30</v>
      </c>
      <c r="B153" t="s">
        <v>1</v>
      </c>
      <c r="C153" t="s">
        <v>2</v>
      </c>
      <c r="D153" t="s">
        <v>66</v>
      </c>
      <c r="E153" t="s">
        <v>142</v>
      </c>
      <c r="F153" t="s">
        <v>1</v>
      </c>
      <c r="G153" t="s">
        <v>32</v>
      </c>
      <c r="I153" t="s">
        <v>35</v>
      </c>
      <c r="J153" t="s">
        <v>36</v>
      </c>
      <c r="K153" t="s">
        <v>37</v>
      </c>
      <c r="L153">
        <v>10000</v>
      </c>
      <c r="M153">
        <v>3</v>
      </c>
      <c r="N153">
        <v>3333.3330000000001</v>
      </c>
      <c r="O153">
        <v>100</v>
      </c>
      <c r="P153">
        <v>100</v>
      </c>
      <c r="Q153">
        <v>337175</v>
      </c>
      <c r="R153">
        <v>92424</v>
      </c>
      <c r="S153">
        <v>339979</v>
      </c>
      <c r="T153">
        <v>88830</v>
      </c>
      <c r="U153">
        <v>344924</v>
      </c>
      <c r="V153">
        <v>80987</v>
      </c>
      <c r="W153">
        <v>83998.45</v>
      </c>
      <c r="X153">
        <v>29699.39</v>
      </c>
      <c r="Y153">
        <v>24.91</v>
      </c>
      <c r="Z153">
        <v>32.130000000000003</v>
      </c>
      <c r="AA153">
        <v>101034.74</v>
      </c>
      <c r="AB153">
        <v>27925.51</v>
      </c>
      <c r="AC153">
        <v>29.72</v>
      </c>
      <c r="AD153">
        <v>31.44</v>
      </c>
    </row>
    <row r="154" spans="1:30" x14ac:dyDescent="0.2">
      <c r="A154" t="s">
        <v>30</v>
      </c>
      <c r="B154" t="s">
        <v>1</v>
      </c>
      <c r="C154" t="s">
        <v>2</v>
      </c>
      <c r="D154" t="s">
        <v>66</v>
      </c>
      <c r="E154" t="s">
        <v>142</v>
      </c>
      <c r="F154" t="s">
        <v>1</v>
      </c>
      <c r="G154" t="s">
        <v>32</v>
      </c>
      <c r="I154" t="s">
        <v>38</v>
      </c>
      <c r="J154" t="s">
        <v>36</v>
      </c>
      <c r="K154" t="s">
        <v>39</v>
      </c>
      <c r="L154">
        <v>5869</v>
      </c>
      <c r="M154">
        <v>3</v>
      </c>
      <c r="N154">
        <v>1956.3330000000001</v>
      </c>
      <c r="O154">
        <v>58.69</v>
      </c>
      <c r="P154">
        <v>58.69</v>
      </c>
      <c r="Q154">
        <v>334417</v>
      </c>
      <c r="R154">
        <v>90</v>
      </c>
      <c r="S154">
        <v>335001</v>
      </c>
      <c r="T154">
        <v>90</v>
      </c>
      <c r="U154">
        <v>252942</v>
      </c>
      <c r="V154">
        <v>91</v>
      </c>
      <c r="W154">
        <v>84353.18</v>
      </c>
      <c r="X154">
        <v>7.18</v>
      </c>
      <c r="Y154">
        <v>25.22</v>
      </c>
      <c r="Z154">
        <v>7.96</v>
      </c>
      <c r="AA154">
        <v>102506.96</v>
      </c>
      <c r="AB154">
        <v>7.41</v>
      </c>
      <c r="AC154">
        <v>30.6</v>
      </c>
      <c r="AD154">
        <v>8.24</v>
      </c>
    </row>
    <row r="155" spans="1:30" x14ac:dyDescent="0.2">
      <c r="A155" t="s">
        <v>30</v>
      </c>
      <c r="B155" t="s">
        <v>1</v>
      </c>
      <c r="C155" t="s">
        <v>2</v>
      </c>
      <c r="D155" t="s">
        <v>66</v>
      </c>
      <c r="E155" t="s">
        <v>142</v>
      </c>
      <c r="F155" t="s">
        <v>1</v>
      </c>
      <c r="G155" t="s">
        <v>32</v>
      </c>
      <c r="I155" t="s">
        <v>35</v>
      </c>
      <c r="J155" t="s">
        <v>36</v>
      </c>
      <c r="K155" t="s">
        <v>39</v>
      </c>
      <c r="L155">
        <v>10000</v>
      </c>
      <c r="M155">
        <v>3</v>
      </c>
      <c r="N155">
        <v>3333.3330000000001</v>
      </c>
      <c r="O155">
        <v>100</v>
      </c>
      <c r="P155">
        <v>100</v>
      </c>
      <c r="Q155">
        <v>337175</v>
      </c>
      <c r="R155">
        <v>96</v>
      </c>
      <c r="S155">
        <v>339979</v>
      </c>
      <c r="T155">
        <v>96</v>
      </c>
      <c r="U155">
        <v>344924</v>
      </c>
      <c r="V155">
        <v>93</v>
      </c>
      <c r="W155">
        <v>83998.45</v>
      </c>
      <c r="X155">
        <v>9.7899999999999991</v>
      </c>
      <c r="Y155">
        <v>24.91</v>
      </c>
      <c r="Z155">
        <v>10.220000000000001</v>
      </c>
      <c r="AA155">
        <v>101034.74</v>
      </c>
      <c r="AB155">
        <v>10.38</v>
      </c>
      <c r="AC155">
        <v>29.72</v>
      </c>
      <c r="AD155">
        <v>10.81</v>
      </c>
    </row>
    <row r="156" spans="1:30" x14ac:dyDescent="0.2">
      <c r="A156" t="s">
        <v>30</v>
      </c>
      <c r="B156" t="s">
        <v>1</v>
      </c>
      <c r="C156" t="s">
        <v>2</v>
      </c>
      <c r="D156" t="s">
        <v>66</v>
      </c>
      <c r="E156" t="s">
        <v>142</v>
      </c>
      <c r="F156" t="s">
        <v>1</v>
      </c>
      <c r="G156" t="s">
        <v>32</v>
      </c>
      <c r="I156" t="s">
        <v>38</v>
      </c>
      <c r="J156" t="s">
        <v>40</v>
      </c>
      <c r="L156">
        <v>5869</v>
      </c>
      <c r="M156">
        <v>3</v>
      </c>
      <c r="N156">
        <v>1956.3330000000001</v>
      </c>
      <c r="O156">
        <v>58.69</v>
      </c>
      <c r="P156">
        <v>58.69</v>
      </c>
      <c r="Q156">
        <v>388</v>
      </c>
      <c r="R156" t="s">
        <v>33</v>
      </c>
      <c r="S156">
        <v>364</v>
      </c>
      <c r="T156" t="s">
        <v>33</v>
      </c>
      <c r="U156">
        <v>374</v>
      </c>
      <c r="V156" t="s">
        <v>33</v>
      </c>
      <c r="W156">
        <v>161.04</v>
      </c>
      <c r="X156" t="s">
        <v>33</v>
      </c>
      <c r="Y156">
        <v>41.47</v>
      </c>
      <c r="Z156" t="s">
        <v>33</v>
      </c>
      <c r="AA156">
        <v>140.85</v>
      </c>
      <c r="AB156" t="s">
        <v>33</v>
      </c>
      <c r="AC156">
        <v>38.69</v>
      </c>
      <c r="AD156" t="s">
        <v>33</v>
      </c>
    </row>
    <row r="157" spans="1:30" x14ac:dyDescent="0.2">
      <c r="A157" t="s">
        <v>30</v>
      </c>
      <c r="B157" t="s">
        <v>1</v>
      </c>
      <c r="C157" t="s">
        <v>2</v>
      </c>
      <c r="D157" t="s">
        <v>66</v>
      </c>
      <c r="E157" t="s">
        <v>142</v>
      </c>
      <c r="F157" t="s">
        <v>1</v>
      </c>
      <c r="G157" t="s">
        <v>32</v>
      </c>
      <c r="I157" t="s">
        <v>38</v>
      </c>
      <c r="J157" t="s">
        <v>41</v>
      </c>
      <c r="L157">
        <v>5869</v>
      </c>
      <c r="M157">
        <v>3</v>
      </c>
      <c r="N157">
        <v>1956.3330000000001</v>
      </c>
      <c r="O157">
        <v>58.69</v>
      </c>
      <c r="P157">
        <v>58.69</v>
      </c>
      <c r="Q157">
        <v>12390</v>
      </c>
      <c r="R157" t="s">
        <v>33</v>
      </c>
      <c r="S157">
        <v>11482</v>
      </c>
      <c r="T157" t="s">
        <v>33</v>
      </c>
      <c r="U157">
        <v>9876</v>
      </c>
      <c r="V157" t="s">
        <v>33</v>
      </c>
      <c r="W157">
        <v>5496.04</v>
      </c>
      <c r="X157" t="s">
        <v>33</v>
      </c>
      <c r="Y157">
        <v>44.36</v>
      </c>
      <c r="Z157" t="s">
        <v>33</v>
      </c>
      <c r="AA157">
        <v>4855.51</v>
      </c>
      <c r="AB157" t="s">
        <v>33</v>
      </c>
      <c r="AC157">
        <v>42.29</v>
      </c>
      <c r="AD157" t="s">
        <v>33</v>
      </c>
    </row>
    <row r="158" spans="1:30" x14ac:dyDescent="0.2">
      <c r="A158" t="s">
        <v>30</v>
      </c>
      <c r="B158" t="s">
        <v>1</v>
      </c>
      <c r="C158" t="s">
        <v>2</v>
      </c>
      <c r="D158" t="s">
        <v>67</v>
      </c>
      <c r="E158" t="s">
        <v>143</v>
      </c>
      <c r="F158" t="s">
        <v>1</v>
      </c>
      <c r="G158" t="s">
        <v>32</v>
      </c>
      <c r="H158" t="s">
        <v>33</v>
      </c>
      <c r="I158" t="s">
        <v>34</v>
      </c>
      <c r="J158" t="s">
        <v>33</v>
      </c>
      <c r="K158" t="s">
        <v>33</v>
      </c>
      <c r="L158">
        <v>10000</v>
      </c>
      <c r="M158">
        <v>3</v>
      </c>
      <c r="N158">
        <v>3333.3330000000001</v>
      </c>
      <c r="O158">
        <v>100</v>
      </c>
      <c r="P158">
        <v>100</v>
      </c>
      <c r="Q158" t="s">
        <v>33</v>
      </c>
      <c r="R158" t="s">
        <v>33</v>
      </c>
      <c r="S158" t="s">
        <v>33</v>
      </c>
      <c r="T158" t="s">
        <v>33</v>
      </c>
      <c r="U158" t="s">
        <v>33</v>
      </c>
      <c r="V158" t="s">
        <v>33</v>
      </c>
      <c r="W158" t="s">
        <v>33</v>
      </c>
      <c r="X158" t="s">
        <v>33</v>
      </c>
      <c r="Y158" t="s">
        <v>33</v>
      </c>
      <c r="Z158" t="s">
        <v>33</v>
      </c>
      <c r="AA158" t="s">
        <v>33</v>
      </c>
      <c r="AB158" t="s">
        <v>33</v>
      </c>
      <c r="AC158" t="s">
        <v>33</v>
      </c>
      <c r="AD158" t="s">
        <v>33</v>
      </c>
    </row>
    <row r="159" spans="1:30" x14ac:dyDescent="0.2">
      <c r="A159" t="s">
        <v>30</v>
      </c>
      <c r="B159" t="s">
        <v>1</v>
      </c>
      <c r="C159" t="s">
        <v>2</v>
      </c>
      <c r="D159" t="s">
        <v>67</v>
      </c>
      <c r="E159" t="s">
        <v>143</v>
      </c>
      <c r="F159" t="s">
        <v>1</v>
      </c>
      <c r="G159" t="s">
        <v>32</v>
      </c>
      <c r="I159" t="s">
        <v>35</v>
      </c>
      <c r="J159" t="s">
        <v>36</v>
      </c>
      <c r="K159" t="s">
        <v>37</v>
      </c>
      <c r="L159">
        <v>10000</v>
      </c>
      <c r="M159">
        <v>3</v>
      </c>
      <c r="N159">
        <v>3333.3330000000001</v>
      </c>
      <c r="O159">
        <v>100</v>
      </c>
      <c r="P159">
        <v>100</v>
      </c>
      <c r="Q159">
        <v>328121</v>
      </c>
      <c r="R159">
        <v>87736</v>
      </c>
      <c r="S159">
        <v>329680</v>
      </c>
      <c r="T159">
        <v>83739</v>
      </c>
      <c r="U159">
        <v>340963</v>
      </c>
      <c r="V159">
        <v>80950</v>
      </c>
      <c r="W159">
        <v>85656.9</v>
      </c>
      <c r="X159">
        <v>29183.98</v>
      </c>
      <c r="Y159">
        <v>26.11</v>
      </c>
      <c r="Z159">
        <v>33.26</v>
      </c>
      <c r="AA159">
        <v>100343.85</v>
      </c>
      <c r="AB159">
        <v>26811.34</v>
      </c>
      <c r="AC159">
        <v>30.44</v>
      </c>
      <c r="AD159">
        <v>32.020000000000003</v>
      </c>
    </row>
    <row r="160" spans="1:30" x14ac:dyDescent="0.2">
      <c r="A160" t="s">
        <v>30</v>
      </c>
      <c r="B160" t="s">
        <v>1</v>
      </c>
      <c r="C160" t="s">
        <v>2</v>
      </c>
      <c r="D160" t="s">
        <v>67</v>
      </c>
      <c r="E160" t="s">
        <v>143</v>
      </c>
      <c r="F160" t="s">
        <v>1</v>
      </c>
      <c r="G160" t="s">
        <v>32</v>
      </c>
      <c r="I160" t="s">
        <v>38</v>
      </c>
      <c r="J160" t="s">
        <v>36</v>
      </c>
      <c r="K160" t="s">
        <v>39</v>
      </c>
      <c r="L160">
        <v>5579</v>
      </c>
      <c r="M160">
        <v>3</v>
      </c>
      <c r="N160">
        <v>1859.6669999999999</v>
      </c>
      <c r="O160">
        <v>55.79</v>
      </c>
      <c r="P160">
        <v>55.79</v>
      </c>
      <c r="Q160">
        <v>329667</v>
      </c>
      <c r="R160">
        <v>89</v>
      </c>
      <c r="S160">
        <v>330993</v>
      </c>
      <c r="T160">
        <v>89</v>
      </c>
      <c r="U160">
        <v>271444</v>
      </c>
      <c r="V160">
        <v>89</v>
      </c>
      <c r="W160">
        <v>84713.18</v>
      </c>
      <c r="X160">
        <v>7.33</v>
      </c>
      <c r="Y160">
        <v>25.7</v>
      </c>
      <c r="Z160">
        <v>8.23</v>
      </c>
      <c r="AA160">
        <v>98754.5</v>
      </c>
      <c r="AB160">
        <v>7.41</v>
      </c>
      <c r="AC160">
        <v>29.84</v>
      </c>
      <c r="AD160">
        <v>8.33</v>
      </c>
    </row>
    <row r="161" spans="1:30" x14ac:dyDescent="0.2">
      <c r="A161" t="s">
        <v>30</v>
      </c>
      <c r="B161" t="s">
        <v>1</v>
      </c>
      <c r="C161" t="s">
        <v>2</v>
      </c>
      <c r="D161" t="s">
        <v>67</v>
      </c>
      <c r="E161" t="s">
        <v>143</v>
      </c>
      <c r="F161" t="s">
        <v>1</v>
      </c>
      <c r="G161" t="s">
        <v>32</v>
      </c>
      <c r="I161" t="s">
        <v>35</v>
      </c>
      <c r="J161" t="s">
        <v>36</v>
      </c>
      <c r="K161" t="s">
        <v>39</v>
      </c>
      <c r="L161">
        <v>10000</v>
      </c>
      <c r="M161">
        <v>3</v>
      </c>
      <c r="N161">
        <v>3333.3330000000001</v>
      </c>
      <c r="O161">
        <v>100</v>
      </c>
      <c r="P161">
        <v>100</v>
      </c>
      <c r="Q161">
        <v>328121</v>
      </c>
      <c r="R161">
        <v>95</v>
      </c>
      <c r="S161">
        <v>329680</v>
      </c>
      <c r="T161">
        <v>94</v>
      </c>
      <c r="U161">
        <v>340963</v>
      </c>
      <c r="V161">
        <v>95</v>
      </c>
      <c r="W161">
        <v>85656.9</v>
      </c>
      <c r="X161">
        <v>10.26</v>
      </c>
      <c r="Y161">
        <v>26.11</v>
      </c>
      <c r="Z161">
        <v>10.82</v>
      </c>
      <c r="AA161">
        <v>100343.85</v>
      </c>
      <c r="AB161">
        <v>10.38</v>
      </c>
      <c r="AC161">
        <v>30.44</v>
      </c>
      <c r="AD161">
        <v>11.04</v>
      </c>
    </row>
    <row r="162" spans="1:30" x14ac:dyDescent="0.2">
      <c r="A162" t="s">
        <v>30</v>
      </c>
      <c r="B162" t="s">
        <v>1</v>
      </c>
      <c r="C162" t="s">
        <v>2</v>
      </c>
      <c r="D162" t="s">
        <v>67</v>
      </c>
      <c r="E162" t="s">
        <v>143</v>
      </c>
      <c r="F162" t="s">
        <v>1</v>
      </c>
      <c r="G162" t="s">
        <v>32</v>
      </c>
      <c r="I162" t="s">
        <v>38</v>
      </c>
      <c r="J162" t="s">
        <v>40</v>
      </c>
      <c r="L162">
        <v>5579</v>
      </c>
      <c r="M162">
        <v>3</v>
      </c>
      <c r="N162">
        <v>1859.6669999999999</v>
      </c>
      <c r="O162">
        <v>55.79</v>
      </c>
      <c r="P162">
        <v>55.79</v>
      </c>
      <c r="Q162">
        <v>335</v>
      </c>
      <c r="R162" t="s">
        <v>33</v>
      </c>
      <c r="S162">
        <v>314</v>
      </c>
      <c r="T162" t="s">
        <v>33</v>
      </c>
      <c r="U162">
        <v>309</v>
      </c>
      <c r="V162" t="s">
        <v>33</v>
      </c>
      <c r="W162">
        <v>141.88999999999999</v>
      </c>
      <c r="X162" t="s">
        <v>33</v>
      </c>
      <c r="Y162">
        <v>42.33</v>
      </c>
      <c r="Z162" t="s">
        <v>33</v>
      </c>
      <c r="AA162">
        <v>124.54</v>
      </c>
      <c r="AB162" t="s">
        <v>33</v>
      </c>
      <c r="AC162">
        <v>39.659999999999997</v>
      </c>
      <c r="AD162" t="s">
        <v>33</v>
      </c>
    </row>
    <row r="163" spans="1:30" x14ac:dyDescent="0.2">
      <c r="A163" t="s">
        <v>30</v>
      </c>
      <c r="B163" t="s">
        <v>1</v>
      </c>
      <c r="C163" t="s">
        <v>2</v>
      </c>
      <c r="D163" t="s">
        <v>67</v>
      </c>
      <c r="E163" t="s">
        <v>143</v>
      </c>
      <c r="F163" t="s">
        <v>1</v>
      </c>
      <c r="G163" t="s">
        <v>32</v>
      </c>
      <c r="I163" t="s">
        <v>38</v>
      </c>
      <c r="J163" t="s">
        <v>41</v>
      </c>
      <c r="L163">
        <v>5579</v>
      </c>
      <c r="M163">
        <v>3</v>
      </c>
      <c r="N163">
        <v>1859.6669999999999</v>
      </c>
      <c r="O163">
        <v>55.79</v>
      </c>
      <c r="P163">
        <v>55.79</v>
      </c>
      <c r="Q163">
        <v>9535</v>
      </c>
      <c r="R163" t="s">
        <v>33</v>
      </c>
      <c r="S163">
        <v>8461</v>
      </c>
      <c r="T163" t="s">
        <v>33</v>
      </c>
      <c r="U163">
        <v>7542</v>
      </c>
      <c r="V163" t="s">
        <v>33</v>
      </c>
      <c r="W163">
        <v>4585.3100000000004</v>
      </c>
      <c r="X163" t="s">
        <v>33</v>
      </c>
      <c r="Y163">
        <v>48.09</v>
      </c>
      <c r="Z163" t="s">
        <v>33</v>
      </c>
      <c r="AA163">
        <v>3611.61</v>
      </c>
      <c r="AB163" t="s">
        <v>33</v>
      </c>
      <c r="AC163">
        <v>42.69</v>
      </c>
      <c r="AD163" t="s">
        <v>33</v>
      </c>
    </row>
    <row r="164" spans="1:30" x14ac:dyDescent="0.2">
      <c r="A164" t="s">
        <v>30</v>
      </c>
      <c r="B164" t="s">
        <v>1</v>
      </c>
      <c r="C164" t="s">
        <v>2</v>
      </c>
      <c r="D164" t="s">
        <v>68</v>
      </c>
      <c r="E164" t="s">
        <v>144</v>
      </c>
      <c r="F164" t="s">
        <v>1</v>
      </c>
      <c r="G164" t="s">
        <v>32</v>
      </c>
      <c r="H164" t="s">
        <v>33</v>
      </c>
      <c r="I164" t="s">
        <v>34</v>
      </c>
      <c r="J164" t="s">
        <v>33</v>
      </c>
      <c r="K164" t="s">
        <v>33</v>
      </c>
      <c r="L164">
        <v>10000</v>
      </c>
      <c r="M164">
        <v>2</v>
      </c>
      <c r="N164">
        <v>5000</v>
      </c>
      <c r="O164">
        <v>100</v>
      </c>
      <c r="P164">
        <v>100</v>
      </c>
      <c r="Q164" t="s">
        <v>33</v>
      </c>
      <c r="R164" t="s">
        <v>33</v>
      </c>
      <c r="S164" t="s">
        <v>33</v>
      </c>
      <c r="T164" t="s">
        <v>33</v>
      </c>
      <c r="U164" t="s">
        <v>33</v>
      </c>
      <c r="V164" t="s">
        <v>33</v>
      </c>
      <c r="W164" t="s">
        <v>33</v>
      </c>
      <c r="X164" t="s">
        <v>33</v>
      </c>
      <c r="Y164" t="s">
        <v>33</v>
      </c>
      <c r="Z164" t="s">
        <v>33</v>
      </c>
      <c r="AA164" t="s">
        <v>33</v>
      </c>
      <c r="AB164" t="s">
        <v>33</v>
      </c>
      <c r="AC164" t="s">
        <v>33</v>
      </c>
      <c r="AD164" t="s">
        <v>33</v>
      </c>
    </row>
    <row r="165" spans="1:30" x14ac:dyDescent="0.2">
      <c r="A165" t="s">
        <v>30</v>
      </c>
      <c r="B165" t="s">
        <v>1</v>
      </c>
      <c r="C165" t="s">
        <v>2</v>
      </c>
      <c r="D165" t="s">
        <v>68</v>
      </c>
      <c r="E165" t="s">
        <v>144</v>
      </c>
      <c r="F165" t="s">
        <v>1</v>
      </c>
      <c r="G165" t="s">
        <v>32</v>
      </c>
      <c r="I165" t="s">
        <v>35</v>
      </c>
      <c r="J165" t="s">
        <v>36</v>
      </c>
      <c r="K165" t="s">
        <v>37</v>
      </c>
      <c r="L165">
        <v>10000</v>
      </c>
      <c r="M165">
        <v>2</v>
      </c>
      <c r="N165">
        <v>5000</v>
      </c>
      <c r="O165">
        <v>100</v>
      </c>
      <c r="P165">
        <v>100</v>
      </c>
      <c r="Q165">
        <v>322708</v>
      </c>
      <c r="R165">
        <v>87063</v>
      </c>
      <c r="S165">
        <v>320849</v>
      </c>
      <c r="T165">
        <v>83136</v>
      </c>
      <c r="U165">
        <v>314288</v>
      </c>
      <c r="V165">
        <v>76766</v>
      </c>
      <c r="W165">
        <v>75972.78</v>
      </c>
      <c r="X165">
        <v>28053.35</v>
      </c>
      <c r="Y165">
        <v>23.54</v>
      </c>
      <c r="Z165">
        <v>32.22</v>
      </c>
      <c r="AA165">
        <v>87987.12</v>
      </c>
      <c r="AB165">
        <v>25347.27</v>
      </c>
      <c r="AC165">
        <v>27.42</v>
      </c>
      <c r="AD165">
        <v>30.49</v>
      </c>
    </row>
    <row r="166" spans="1:30" x14ac:dyDescent="0.2">
      <c r="A166" t="s">
        <v>30</v>
      </c>
      <c r="B166" t="s">
        <v>1</v>
      </c>
      <c r="C166" t="s">
        <v>2</v>
      </c>
      <c r="D166" t="s">
        <v>68</v>
      </c>
      <c r="E166" t="s">
        <v>144</v>
      </c>
      <c r="F166" t="s">
        <v>1</v>
      </c>
      <c r="G166" t="s">
        <v>32</v>
      </c>
      <c r="I166" t="s">
        <v>38</v>
      </c>
      <c r="J166" t="s">
        <v>36</v>
      </c>
      <c r="K166" t="s">
        <v>39</v>
      </c>
      <c r="L166">
        <v>5668</v>
      </c>
      <c r="M166">
        <v>2</v>
      </c>
      <c r="N166">
        <v>2834</v>
      </c>
      <c r="O166">
        <v>56.68</v>
      </c>
      <c r="P166">
        <v>56.68</v>
      </c>
      <c r="Q166">
        <v>324213</v>
      </c>
      <c r="R166">
        <v>90</v>
      </c>
      <c r="S166">
        <v>322609</v>
      </c>
      <c r="T166">
        <v>89</v>
      </c>
      <c r="U166">
        <v>355180</v>
      </c>
      <c r="V166">
        <v>89</v>
      </c>
      <c r="W166">
        <v>75569.16</v>
      </c>
      <c r="X166">
        <v>6.69</v>
      </c>
      <c r="Y166">
        <v>23.31</v>
      </c>
      <c r="Z166">
        <v>7.47</v>
      </c>
      <c r="AA166">
        <v>87824.77</v>
      </c>
      <c r="AB166">
        <v>7.41</v>
      </c>
      <c r="AC166">
        <v>27.22</v>
      </c>
      <c r="AD166">
        <v>8.33</v>
      </c>
    </row>
    <row r="167" spans="1:30" x14ac:dyDescent="0.2">
      <c r="A167" t="s">
        <v>30</v>
      </c>
      <c r="B167" t="s">
        <v>1</v>
      </c>
      <c r="C167" t="s">
        <v>2</v>
      </c>
      <c r="D167" t="s">
        <v>68</v>
      </c>
      <c r="E167" t="s">
        <v>144</v>
      </c>
      <c r="F167" t="s">
        <v>1</v>
      </c>
      <c r="G167" t="s">
        <v>32</v>
      </c>
      <c r="I167" t="s">
        <v>35</v>
      </c>
      <c r="J167" t="s">
        <v>36</v>
      </c>
      <c r="K167" t="s">
        <v>39</v>
      </c>
      <c r="L167">
        <v>10000</v>
      </c>
      <c r="M167">
        <v>2</v>
      </c>
      <c r="N167">
        <v>5000</v>
      </c>
      <c r="O167">
        <v>100</v>
      </c>
      <c r="P167">
        <v>100</v>
      </c>
      <c r="Q167">
        <v>322708</v>
      </c>
      <c r="R167">
        <v>95</v>
      </c>
      <c r="S167">
        <v>320849</v>
      </c>
      <c r="T167">
        <v>95</v>
      </c>
      <c r="U167">
        <v>314288</v>
      </c>
      <c r="V167">
        <v>97</v>
      </c>
      <c r="W167">
        <v>75972.78</v>
      </c>
      <c r="X167">
        <v>9.43</v>
      </c>
      <c r="Y167">
        <v>23.54</v>
      </c>
      <c r="Z167">
        <v>9.92</v>
      </c>
      <c r="AA167">
        <v>87987.12</v>
      </c>
      <c r="AB167">
        <v>10.38</v>
      </c>
      <c r="AC167">
        <v>27.42</v>
      </c>
      <c r="AD167">
        <v>10.92</v>
      </c>
    </row>
    <row r="168" spans="1:30" x14ac:dyDescent="0.2">
      <c r="A168" t="s">
        <v>30</v>
      </c>
      <c r="B168" t="s">
        <v>1</v>
      </c>
      <c r="C168" t="s">
        <v>2</v>
      </c>
      <c r="D168" t="s">
        <v>68</v>
      </c>
      <c r="E168" t="s">
        <v>144</v>
      </c>
      <c r="F168" t="s">
        <v>1</v>
      </c>
      <c r="G168" t="s">
        <v>32</v>
      </c>
      <c r="I168" t="s">
        <v>38</v>
      </c>
      <c r="J168" t="s">
        <v>40</v>
      </c>
      <c r="L168">
        <v>5668</v>
      </c>
      <c r="M168">
        <v>2</v>
      </c>
      <c r="N168">
        <v>2834</v>
      </c>
      <c r="O168">
        <v>56.68</v>
      </c>
      <c r="P168">
        <v>56.68</v>
      </c>
      <c r="Q168">
        <v>172</v>
      </c>
      <c r="R168" t="s">
        <v>33</v>
      </c>
      <c r="S168">
        <v>162</v>
      </c>
      <c r="T168" t="s">
        <v>33</v>
      </c>
      <c r="U168">
        <v>157</v>
      </c>
      <c r="V168" t="s">
        <v>33</v>
      </c>
      <c r="W168">
        <v>69.31</v>
      </c>
      <c r="X168" t="s">
        <v>33</v>
      </c>
      <c r="Y168">
        <v>40.35</v>
      </c>
      <c r="Z168" t="s">
        <v>33</v>
      </c>
      <c r="AA168">
        <v>66.72</v>
      </c>
      <c r="AB168" t="s">
        <v>33</v>
      </c>
      <c r="AC168">
        <v>41.18</v>
      </c>
      <c r="AD168" t="s">
        <v>33</v>
      </c>
    </row>
    <row r="169" spans="1:30" x14ac:dyDescent="0.2">
      <c r="A169" t="s">
        <v>30</v>
      </c>
      <c r="B169" t="s">
        <v>1</v>
      </c>
      <c r="C169" t="s">
        <v>2</v>
      </c>
      <c r="D169" t="s">
        <v>68</v>
      </c>
      <c r="E169" t="s">
        <v>144</v>
      </c>
      <c r="F169" t="s">
        <v>1</v>
      </c>
      <c r="G169" t="s">
        <v>32</v>
      </c>
      <c r="I169" t="s">
        <v>38</v>
      </c>
      <c r="J169" t="s">
        <v>41</v>
      </c>
      <c r="L169">
        <v>5668</v>
      </c>
      <c r="M169">
        <v>2</v>
      </c>
      <c r="N169">
        <v>2834</v>
      </c>
      <c r="O169">
        <v>56.68</v>
      </c>
      <c r="P169">
        <v>56.68</v>
      </c>
      <c r="Q169">
        <v>264</v>
      </c>
      <c r="R169" t="s">
        <v>33</v>
      </c>
      <c r="S169">
        <v>221</v>
      </c>
      <c r="T169" t="s">
        <v>33</v>
      </c>
      <c r="U169">
        <v>245</v>
      </c>
      <c r="V169" t="s">
        <v>33</v>
      </c>
      <c r="W169">
        <v>386.15</v>
      </c>
      <c r="X169" t="s">
        <v>33</v>
      </c>
      <c r="Y169">
        <v>146.19999999999999</v>
      </c>
      <c r="Z169" t="s">
        <v>33</v>
      </c>
      <c r="AA169">
        <v>114.16</v>
      </c>
      <c r="AB169" t="s">
        <v>33</v>
      </c>
      <c r="AC169">
        <v>51.66</v>
      </c>
      <c r="AD169" t="s">
        <v>33</v>
      </c>
    </row>
    <row r="170" spans="1:30" x14ac:dyDescent="0.2">
      <c r="A170" t="s">
        <v>30</v>
      </c>
      <c r="B170" t="s">
        <v>1</v>
      </c>
      <c r="C170" t="s">
        <v>2</v>
      </c>
      <c r="D170" t="s">
        <v>69</v>
      </c>
      <c r="E170" t="s">
        <v>145</v>
      </c>
      <c r="F170" t="s">
        <v>1</v>
      </c>
      <c r="G170" t="s">
        <v>32</v>
      </c>
      <c r="H170" t="s">
        <v>33</v>
      </c>
      <c r="I170" t="s">
        <v>34</v>
      </c>
      <c r="J170" t="s">
        <v>33</v>
      </c>
      <c r="K170" t="s">
        <v>33</v>
      </c>
      <c r="L170">
        <v>10000</v>
      </c>
      <c r="M170">
        <v>3</v>
      </c>
      <c r="N170">
        <v>3333.3330000000001</v>
      </c>
      <c r="O170">
        <v>100</v>
      </c>
      <c r="P170">
        <v>100</v>
      </c>
      <c r="Q170" t="s">
        <v>33</v>
      </c>
      <c r="R170" t="s">
        <v>33</v>
      </c>
      <c r="S170" t="s">
        <v>33</v>
      </c>
      <c r="T170" t="s">
        <v>33</v>
      </c>
      <c r="U170" t="s">
        <v>33</v>
      </c>
      <c r="V170" t="s">
        <v>33</v>
      </c>
      <c r="W170" t="s">
        <v>33</v>
      </c>
      <c r="X170" t="s">
        <v>33</v>
      </c>
      <c r="Y170" t="s">
        <v>33</v>
      </c>
      <c r="Z170" t="s">
        <v>33</v>
      </c>
      <c r="AA170" t="s">
        <v>33</v>
      </c>
      <c r="AB170" t="s">
        <v>33</v>
      </c>
      <c r="AC170" t="s">
        <v>33</v>
      </c>
      <c r="AD170" t="s">
        <v>33</v>
      </c>
    </row>
    <row r="171" spans="1:30" x14ac:dyDescent="0.2">
      <c r="A171" t="s">
        <v>30</v>
      </c>
      <c r="B171" t="s">
        <v>1</v>
      </c>
      <c r="C171" t="s">
        <v>2</v>
      </c>
      <c r="D171" t="s">
        <v>69</v>
      </c>
      <c r="E171" t="s">
        <v>145</v>
      </c>
      <c r="F171" t="s">
        <v>1</v>
      </c>
      <c r="G171" t="s">
        <v>32</v>
      </c>
      <c r="I171" t="s">
        <v>35</v>
      </c>
      <c r="J171" t="s">
        <v>36</v>
      </c>
      <c r="K171" t="s">
        <v>37</v>
      </c>
      <c r="L171">
        <v>10000</v>
      </c>
      <c r="M171">
        <v>3</v>
      </c>
      <c r="N171">
        <v>3333.3330000000001</v>
      </c>
      <c r="O171">
        <v>100</v>
      </c>
      <c r="P171">
        <v>100</v>
      </c>
      <c r="Q171">
        <v>295460</v>
      </c>
      <c r="R171">
        <v>95658</v>
      </c>
      <c r="S171">
        <v>287123</v>
      </c>
      <c r="T171">
        <v>88376</v>
      </c>
      <c r="U171">
        <v>258963</v>
      </c>
      <c r="V171">
        <v>70687</v>
      </c>
      <c r="W171">
        <v>87727.34</v>
      </c>
      <c r="X171">
        <v>36365.01</v>
      </c>
      <c r="Y171">
        <v>29.69</v>
      </c>
      <c r="Z171">
        <v>38.020000000000003</v>
      </c>
      <c r="AA171">
        <v>103481.77</v>
      </c>
      <c r="AB171">
        <v>35919.69</v>
      </c>
      <c r="AC171">
        <v>36.04</v>
      </c>
      <c r="AD171">
        <v>40.64</v>
      </c>
    </row>
    <row r="172" spans="1:30" x14ac:dyDescent="0.2">
      <c r="A172" t="s">
        <v>30</v>
      </c>
      <c r="B172" t="s">
        <v>1</v>
      </c>
      <c r="C172" t="s">
        <v>2</v>
      </c>
      <c r="D172" t="s">
        <v>69</v>
      </c>
      <c r="E172" t="s">
        <v>145</v>
      </c>
      <c r="F172" t="s">
        <v>1</v>
      </c>
      <c r="G172" t="s">
        <v>32</v>
      </c>
      <c r="I172" t="s">
        <v>38</v>
      </c>
      <c r="J172" t="s">
        <v>36</v>
      </c>
      <c r="K172" t="s">
        <v>39</v>
      </c>
      <c r="L172">
        <v>5640</v>
      </c>
      <c r="M172">
        <v>3</v>
      </c>
      <c r="N172">
        <v>1880</v>
      </c>
      <c r="O172">
        <v>56.4</v>
      </c>
      <c r="P172">
        <v>56.4</v>
      </c>
      <c r="Q172">
        <v>290542</v>
      </c>
      <c r="R172">
        <v>88</v>
      </c>
      <c r="S172">
        <v>281044</v>
      </c>
      <c r="T172">
        <v>88</v>
      </c>
      <c r="U172">
        <v>263226</v>
      </c>
      <c r="V172">
        <v>84</v>
      </c>
      <c r="W172">
        <v>84958.27</v>
      </c>
      <c r="X172">
        <v>7.09</v>
      </c>
      <c r="Y172">
        <v>29.24</v>
      </c>
      <c r="Z172">
        <v>8.02</v>
      </c>
      <c r="AA172">
        <v>98214.09</v>
      </c>
      <c r="AB172">
        <v>7.41</v>
      </c>
      <c r="AC172">
        <v>34.950000000000003</v>
      </c>
      <c r="AD172">
        <v>8.42</v>
      </c>
    </row>
    <row r="173" spans="1:30" x14ac:dyDescent="0.2">
      <c r="A173" t="s">
        <v>30</v>
      </c>
      <c r="B173" t="s">
        <v>1</v>
      </c>
      <c r="C173" t="s">
        <v>2</v>
      </c>
      <c r="D173" t="s">
        <v>69</v>
      </c>
      <c r="E173" t="s">
        <v>145</v>
      </c>
      <c r="F173" t="s">
        <v>1</v>
      </c>
      <c r="G173" t="s">
        <v>32</v>
      </c>
      <c r="I173" t="s">
        <v>35</v>
      </c>
      <c r="J173" t="s">
        <v>36</v>
      </c>
      <c r="K173" t="s">
        <v>39</v>
      </c>
      <c r="L173">
        <v>10000</v>
      </c>
      <c r="M173">
        <v>3</v>
      </c>
      <c r="N173">
        <v>3333.3330000000001</v>
      </c>
      <c r="O173">
        <v>100</v>
      </c>
      <c r="P173">
        <v>100</v>
      </c>
      <c r="Q173">
        <v>295460</v>
      </c>
      <c r="R173">
        <v>94</v>
      </c>
      <c r="S173">
        <v>287123</v>
      </c>
      <c r="T173">
        <v>94</v>
      </c>
      <c r="U173">
        <v>258963</v>
      </c>
      <c r="V173">
        <v>94</v>
      </c>
      <c r="W173">
        <v>87727.34</v>
      </c>
      <c r="X173">
        <v>10.24</v>
      </c>
      <c r="Y173">
        <v>29.69</v>
      </c>
      <c r="Z173">
        <v>10.85</v>
      </c>
      <c r="AA173">
        <v>103481.77</v>
      </c>
      <c r="AB173">
        <v>11.86</v>
      </c>
      <c r="AC173">
        <v>36.04</v>
      </c>
      <c r="AD173">
        <v>12.62</v>
      </c>
    </row>
    <row r="174" spans="1:30" x14ac:dyDescent="0.2">
      <c r="A174" t="s">
        <v>30</v>
      </c>
      <c r="B174" t="s">
        <v>1</v>
      </c>
      <c r="C174" t="s">
        <v>2</v>
      </c>
      <c r="D174" t="s">
        <v>69</v>
      </c>
      <c r="E174" t="s">
        <v>145</v>
      </c>
      <c r="F174" t="s">
        <v>1</v>
      </c>
      <c r="G174" t="s">
        <v>32</v>
      </c>
      <c r="I174" t="s">
        <v>38</v>
      </c>
      <c r="J174" t="s">
        <v>40</v>
      </c>
      <c r="L174">
        <v>5640</v>
      </c>
      <c r="M174">
        <v>3</v>
      </c>
      <c r="N174">
        <v>1880</v>
      </c>
      <c r="O174">
        <v>56.4</v>
      </c>
      <c r="P174">
        <v>56.4</v>
      </c>
      <c r="Q174">
        <v>643</v>
      </c>
      <c r="R174" t="s">
        <v>33</v>
      </c>
      <c r="S174">
        <v>455</v>
      </c>
      <c r="T174" t="s">
        <v>33</v>
      </c>
      <c r="U174">
        <v>354</v>
      </c>
      <c r="V174" t="s">
        <v>33</v>
      </c>
      <c r="W174">
        <v>576.22</v>
      </c>
      <c r="X174" t="s">
        <v>33</v>
      </c>
      <c r="Y174">
        <v>89.63</v>
      </c>
      <c r="Z174" t="s">
        <v>33</v>
      </c>
      <c r="AA174">
        <v>321.72000000000003</v>
      </c>
      <c r="AB174" t="s">
        <v>33</v>
      </c>
      <c r="AC174">
        <v>70.709999999999994</v>
      </c>
      <c r="AD174" t="s">
        <v>33</v>
      </c>
    </row>
    <row r="175" spans="1:30" x14ac:dyDescent="0.2">
      <c r="A175" t="s">
        <v>30</v>
      </c>
      <c r="B175" t="s">
        <v>1</v>
      </c>
      <c r="C175" t="s">
        <v>2</v>
      </c>
      <c r="D175" t="s">
        <v>69</v>
      </c>
      <c r="E175" t="s">
        <v>145</v>
      </c>
      <c r="F175" t="s">
        <v>1</v>
      </c>
      <c r="G175" t="s">
        <v>32</v>
      </c>
      <c r="I175" t="s">
        <v>38</v>
      </c>
      <c r="J175" t="s">
        <v>41</v>
      </c>
      <c r="L175">
        <v>5640</v>
      </c>
      <c r="M175">
        <v>3</v>
      </c>
      <c r="N175">
        <v>1880</v>
      </c>
      <c r="O175">
        <v>56.4</v>
      </c>
      <c r="P175">
        <v>56.4</v>
      </c>
      <c r="Q175">
        <v>776</v>
      </c>
      <c r="R175" t="s">
        <v>33</v>
      </c>
      <c r="S175">
        <v>582</v>
      </c>
      <c r="T175" t="s">
        <v>33</v>
      </c>
      <c r="U175">
        <v>842</v>
      </c>
      <c r="V175" t="s">
        <v>33</v>
      </c>
      <c r="W175">
        <v>705.75</v>
      </c>
      <c r="X175" t="s">
        <v>33</v>
      </c>
      <c r="Y175">
        <v>90.93</v>
      </c>
      <c r="Z175" t="s">
        <v>33</v>
      </c>
      <c r="AA175">
        <v>466.28</v>
      </c>
      <c r="AB175" t="s">
        <v>33</v>
      </c>
      <c r="AC175">
        <v>80.19</v>
      </c>
      <c r="AD175" t="s">
        <v>33</v>
      </c>
    </row>
    <row r="176" spans="1:30" x14ac:dyDescent="0.2">
      <c r="A176" t="s">
        <v>30</v>
      </c>
      <c r="B176" t="s">
        <v>1</v>
      </c>
      <c r="C176" t="s">
        <v>2</v>
      </c>
      <c r="D176" t="s">
        <v>70</v>
      </c>
      <c r="E176" t="s">
        <v>146</v>
      </c>
      <c r="F176" t="s">
        <v>1</v>
      </c>
      <c r="G176" t="s">
        <v>32</v>
      </c>
      <c r="H176" t="s">
        <v>33</v>
      </c>
      <c r="I176" t="s">
        <v>34</v>
      </c>
      <c r="J176" t="s">
        <v>33</v>
      </c>
      <c r="K176" t="s">
        <v>33</v>
      </c>
      <c r="L176">
        <v>10000</v>
      </c>
      <c r="M176">
        <v>5</v>
      </c>
      <c r="N176">
        <v>2000</v>
      </c>
      <c r="O176">
        <v>100</v>
      </c>
      <c r="P176">
        <v>100</v>
      </c>
      <c r="Q176" t="s">
        <v>33</v>
      </c>
      <c r="R176" t="s">
        <v>33</v>
      </c>
      <c r="S176" t="s">
        <v>33</v>
      </c>
      <c r="T176" t="s">
        <v>33</v>
      </c>
      <c r="U176" t="s">
        <v>33</v>
      </c>
      <c r="V176" t="s">
        <v>33</v>
      </c>
      <c r="W176" t="s">
        <v>33</v>
      </c>
      <c r="X176" t="s">
        <v>33</v>
      </c>
      <c r="Y176" t="s">
        <v>33</v>
      </c>
      <c r="Z176" t="s">
        <v>33</v>
      </c>
      <c r="AA176" t="s">
        <v>33</v>
      </c>
      <c r="AB176" t="s">
        <v>33</v>
      </c>
      <c r="AC176" t="s">
        <v>33</v>
      </c>
      <c r="AD176" t="s">
        <v>33</v>
      </c>
    </row>
    <row r="177" spans="1:30" x14ac:dyDescent="0.2">
      <c r="A177" t="s">
        <v>30</v>
      </c>
      <c r="B177" t="s">
        <v>1</v>
      </c>
      <c r="C177" t="s">
        <v>2</v>
      </c>
      <c r="D177" t="s">
        <v>70</v>
      </c>
      <c r="E177" t="s">
        <v>146</v>
      </c>
      <c r="F177" t="s">
        <v>1</v>
      </c>
      <c r="G177" t="s">
        <v>32</v>
      </c>
      <c r="I177" t="s">
        <v>35</v>
      </c>
      <c r="J177" t="s">
        <v>36</v>
      </c>
      <c r="K177" t="s">
        <v>37</v>
      </c>
      <c r="L177">
        <v>10000</v>
      </c>
      <c r="M177">
        <v>5</v>
      </c>
      <c r="N177">
        <v>2000</v>
      </c>
      <c r="O177">
        <v>100</v>
      </c>
      <c r="P177">
        <v>100</v>
      </c>
      <c r="Q177">
        <v>302456</v>
      </c>
      <c r="R177">
        <v>93972</v>
      </c>
      <c r="S177">
        <v>298009</v>
      </c>
      <c r="T177">
        <v>87313</v>
      </c>
      <c r="U177">
        <v>230317</v>
      </c>
      <c r="V177">
        <v>70573</v>
      </c>
      <c r="W177">
        <v>85075.93</v>
      </c>
      <c r="X177">
        <v>34532.019999999997</v>
      </c>
      <c r="Y177">
        <v>28.13</v>
      </c>
      <c r="Z177">
        <v>36.75</v>
      </c>
      <c r="AA177">
        <v>100696.71</v>
      </c>
      <c r="AB177">
        <v>33683.19</v>
      </c>
      <c r="AC177">
        <v>33.79</v>
      </c>
      <c r="AD177">
        <v>38.58</v>
      </c>
    </row>
    <row r="178" spans="1:30" x14ac:dyDescent="0.2">
      <c r="A178" t="s">
        <v>30</v>
      </c>
      <c r="B178" t="s">
        <v>1</v>
      </c>
      <c r="C178" t="s">
        <v>2</v>
      </c>
      <c r="D178" t="s">
        <v>70</v>
      </c>
      <c r="E178" t="s">
        <v>146</v>
      </c>
      <c r="F178" t="s">
        <v>1</v>
      </c>
      <c r="G178" t="s">
        <v>32</v>
      </c>
      <c r="I178" t="s">
        <v>38</v>
      </c>
      <c r="J178" t="s">
        <v>36</v>
      </c>
      <c r="K178" t="s">
        <v>39</v>
      </c>
      <c r="L178">
        <v>5224</v>
      </c>
      <c r="M178">
        <v>5</v>
      </c>
      <c r="N178">
        <v>1044.8</v>
      </c>
      <c r="O178">
        <v>52.24</v>
      </c>
      <c r="P178">
        <v>52.24</v>
      </c>
      <c r="Q178">
        <v>305066</v>
      </c>
      <c r="R178">
        <v>88</v>
      </c>
      <c r="S178">
        <v>301577</v>
      </c>
      <c r="T178">
        <v>88</v>
      </c>
      <c r="U178">
        <v>230342</v>
      </c>
      <c r="V178">
        <v>85</v>
      </c>
      <c r="W178">
        <v>85185.29</v>
      </c>
      <c r="X178">
        <v>7.21</v>
      </c>
      <c r="Y178">
        <v>27.92</v>
      </c>
      <c r="Z178">
        <v>8.16</v>
      </c>
      <c r="AA178">
        <v>101452.83</v>
      </c>
      <c r="AB178">
        <v>7.41</v>
      </c>
      <c r="AC178">
        <v>33.64</v>
      </c>
      <c r="AD178">
        <v>8.42</v>
      </c>
    </row>
    <row r="179" spans="1:30" x14ac:dyDescent="0.2">
      <c r="A179" t="s">
        <v>30</v>
      </c>
      <c r="B179" t="s">
        <v>1</v>
      </c>
      <c r="C179" t="s">
        <v>2</v>
      </c>
      <c r="D179" t="s">
        <v>70</v>
      </c>
      <c r="E179" t="s">
        <v>146</v>
      </c>
      <c r="F179" t="s">
        <v>1</v>
      </c>
      <c r="G179" t="s">
        <v>32</v>
      </c>
      <c r="I179" t="s">
        <v>35</v>
      </c>
      <c r="J179" t="s">
        <v>36</v>
      </c>
      <c r="K179" t="s">
        <v>39</v>
      </c>
      <c r="L179">
        <v>10000</v>
      </c>
      <c r="M179">
        <v>5</v>
      </c>
      <c r="N179">
        <v>2000</v>
      </c>
      <c r="O179">
        <v>100</v>
      </c>
      <c r="P179">
        <v>100</v>
      </c>
      <c r="Q179">
        <v>302456</v>
      </c>
      <c r="R179">
        <v>94</v>
      </c>
      <c r="S179">
        <v>298009</v>
      </c>
      <c r="T179">
        <v>94</v>
      </c>
      <c r="U179">
        <v>230317</v>
      </c>
      <c r="V179">
        <v>93</v>
      </c>
      <c r="W179">
        <v>85075.93</v>
      </c>
      <c r="X179">
        <v>9.77</v>
      </c>
      <c r="Y179">
        <v>28.13</v>
      </c>
      <c r="Z179">
        <v>10.37</v>
      </c>
      <c r="AA179">
        <v>100696.71</v>
      </c>
      <c r="AB179">
        <v>10.38</v>
      </c>
      <c r="AC179">
        <v>33.79</v>
      </c>
      <c r="AD179">
        <v>11.04</v>
      </c>
    </row>
    <row r="180" spans="1:30" x14ac:dyDescent="0.2">
      <c r="A180" t="s">
        <v>30</v>
      </c>
      <c r="B180" t="s">
        <v>1</v>
      </c>
      <c r="C180" t="s">
        <v>2</v>
      </c>
      <c r="D180" t="s">
        <v>70</v>
      </c>
      <c r="E180" t="s">
        <v>146</v>
      </c>
      <c r="F180" t="s">
        <v>1</v>
      </c>
      <c r="G180" t="s">
        <v>32</v>
      </c>
      <c r="I180" t="s">
        <v>38</v>
      </c>
      <c r="J180" t="s">
        <v>40</v>
      </c>
      <c r="L180">
        <v>5224</v>
      </c>
      <c r="M180">
        <v>5</v>
      </c>
      <c r="N180">
        <v>1044.8</v>
      </c>
      <c r="O180">
        <v>52.24</v>
      </c>
      <c r="P180">
        <v>52.24</v>
      </c>
      <c r="Q180">
        <v>570</v>
      </c>
      <c r="R180" t="s">
        <v>33</v>
      </c>
      <c r="S180">
        <v>454</v>
      </c>
      <c r="T180" t="s">
        <v>33</v>
      </c>
      <c r="U180">
        <v>470</v>
      </c>
      <c r="V180" t="s">
        <v>33</v>
      </c>
      <c r="W180">
        <v>403.79</v>
      </c>
      <c r="X180" t="s">
        <v>33</v>
      </c>
      <c r="Y180">
        <v>70.83</v>
      </c>
      <c r="Z180" t="s">
        <v>33</v>
      </c>
      <c r="AA180">
        <v>271.32</v>
      </c>
      <c r="AB180" t="s">
        <v>33</v>
      </c>
      <c r="AC180">
        <v>59.76</v>
      </c>
      <c r="AD180" t="s">
        <v>33</v>
      </c>
    </row>
    <row r="181" spans="1:30" x14ac:dyDescent="0.2">
      <c r="A181" t="s">
        <v>30</v>
      </c>
      <c r="B181" t="s">
        <v>1</v>
      </c>
      <c r="C181" t="s">
        <v>2</v>
      </c>
      <c r="D181" t="s">
        <v>70</v>
      </c>
      <c r="E181" t="s">
        <v>146</v>
      </c>
      <c r="F181" t="s">
        <v>1</v>
      </c>
      <c r="G181" t="s">
        <v>32</v>
      </c>
      <c r="I181" t="s">
        <v>38</v>
      </c>
      <c r="J181" t="s">
        <v>41</v>
      </c>
      <c r="L181">
        <v>5224</v>
      </c>
      <c r="M181">
        <v>5</v>
      </c>
      <c r="N181">
        <v>1044.8</v>
      </c>
      <c r="O181">
        <v>52.24</v>
      </c>
      <c r="P181">
        <v>52.24</v>
      </c>
      <c r="Q181">
        <v>798</v>
      </c>
      <c r="R181" t="s">
        <v>33</v>
      </c>
      <c r="S181">
        <v>558</v>
      </c>
      <c r="T181" t="s">
        <v>33</v>
      </c>
      <c r="U181">
        <v>434</v>
      </c>
      <c r="V181" t="s">
        <v>33</v>
      </c>
      <c r="W181">
        <v>764.57</v>
      </c>
      <c r="X181" t="s">
        <v>33</v>
      </c>
      <c r="Y181">
        <v>95.82</v>
      </c>
      <c r="Z181" t="s">
        <v>33</v>
      </c>
      <c r="AA181">
        <v>435.88</v>
      </c>
      <c r="AB181" t="s">
        <v>33</v>
      </c>
      <c r="AC181">
        <v>78.12</v>
      </c>
      <c r="AD181" t="s">
        <v>33</v>
      </c>
    </row>
    <row r="182" spans="1:30" x14ac:dyDescent="0.2">
      <c r="A182" t="s">
        <v>30</v>
      </c>
      <c r="B182" t="s">
        <v>1</v>
      </c>
      <c r="C182" t="s">
        <v>2</v>
      </c>
      <c r="D182" t="s">
        <v>71</v>
      </c>
      <c r="E182" t="s">
        <v>147</v>
      </c>
      <c r="F182" t="s">
        <v>1</v>
      </c>
      <c r="G182" t="s">
        <v>32</v>
      </c>
      <c r="H182" t="s">
        <v>33</v>
      </c>
      <c r="I182" t="s">
        <v>34</v>
      </c>
      <c r="J182" t="s">
        <v>33</v>
      </c>
      <c r="K182" t="s">
        <v>33</v>
      </c>
      <c r="L182">
        <v>10000</v>
      </c>
      <c r="M182">
        <v>5</v>
      </c>
      <c r="N182">
        <v>2000</v>
      </c>
      <c r="O182">
        <v>100</v>
      </c>
      <c r="P182">
        <v>100</v>
      </c>
      <c r="Q182" t="s">
        <v>33</v>
      </c>
      <c r="R182" t="s">
        <v>33</v>
      </c>
      <c r="S182" t="s">
        <v>33</v>
      </c>
      <c r="T182" t="s">
        <v>33</v>
      </c>
      <c r="U182" t="s">
        <v>33</v>
      </c>
      <c r="V182" t="s">
        <v>33</v>
      </c>
      <c r="W182" t="s">
        <v>33</v>
      </c>
      <c r="X182" t="s">
        <v>33</v>
      </c>
      <c r="Y182" t="s">
        <v>33</v>
      </c>
      <c r="Z182" t="s">
        <v>33</v>
      </c>
      <c r="AA182" t="s">
        <v>33</v>
      </c>
      <c r="AB182" t="s">
        <v>33</v>
      </c>
      <c r="AC182" t="s">
        <v>33</v>
      </c>
      <c r="AD182" t="s">
        <v>33</v>
      </c>
    </row>
    <row r="183" spans="1:30" x14ac:dyDescent="0.2">
      <c r="A183" t="s">
        <v>30</v>
      </c>
      <c r="B183" t="s">
        <v>1</v>
      </c>
      <c r="C183" t="s">
        <v>2</v>
      </c>
      <c r="D183" t="s">
        <v>71</v>
      </c>
      <c r="E183" t="s">
        <v>147</v>
      </c>
      <c r="F183" t="s">
        <v>1</v>
      </c>
      <c r="G183" t="s">
        <v>32</v>
      </c>
      <c r="I183" t="s">
        <v>35</v>
      </c>
      <c r="J183" t="s">
        <v>36</v>
      </c>
      <c r="K183" t="s">
        <v>37</v>
      </c>
      <c r="L183">
        <v>10000</v>
      </c>
      <c r="M183">
        <v>5</v>
      </c>
      <c r="N183">
        <v>2000</v>
      </c>
      <c r="O183">
        <v>100</v>
      </c>
      <c r="P183">
        <v>100</v>
      </c>
      <c r="Q183">
        <v>301717</v>
      </c>
      <c r="R183">
        <v>95413</v>
      </c>
      <c r="S183">
        <v>295376</v>
      </c>
      <c r="T183">
        <v>87914</v>
      </c>
      <c r="U183">
        <v>289908</v>
      </c>
      <c r="V183">
        <v>70656</v>
      </c>
      <c r="W183">
        <v>89186.19</v>
      </c>
      <c r="X183">
        <v>36471.82</v>
      </c>
      <c r="Y183">
        <v>29.56</v>
      </c>
      <c r="Z183">
        <v>38.229999999999997</v>
      </c>
      <c r="AA183">
        <v>108215.71</v>
      </c>
      <c r="AB183">
        <v>35574.99</v>
      </c>
      <c r="AC183">
        <v>36.64</v>
      </c>
      <c r="AD183">
        <v>40.47</v>
      </c>
    </row>
    <row r="184" spans="1:30" x14ac:dyDescent="0.2">
      <c r="A184" t="s">
        <v>30</v>
      </c>
      <c r="B184" t="s">
        <v>1</v>
      </c>
      <c r="C184" t="s">
        <v>2</v>
      </c>
      <c r="D184" t="s">
        <v>71</v>
      </c>
      <c r="E184" t="s">
        <v>147</v>
      </c>
      <c r="F184" t="s">
        <v>1</v>
      </c>
      <c r="G184" t="s">
        <v>32</v>
      </c>
      <c r="I184" t="s">
        <v>38</v>
      </c>
      <c r="J184" t="s">
        <v>36</v>
      </c>
      <c r="K184" t="s">
        <v>39</v>
      </c>
      <c r="L184">
        <v>5785</v>
      </c>
      <c r="M184">
        <v>5</v>
      </c>
      <c r="N184">
        <v>1157</v>
      </c>
      <c r="O184">
        <v>57.85</v>
      </c>
      <c r="P184">
        <v>57.85</v>
      </c>
      <c r="Q184">
        <v>297536</v>
      </c>
      <c r="R184">
        <v>89</v>
      </c>
      <c r="S184">
        <v>289887</v>
      </c>
      <c r="T184">
        <v>88</v>
      </c>
      <c r="U184">
        <v>259259</v>
      </c>
      <c r="V184">
        <v>86</v>
      </c>
      <c r="W184">
        <v>88185.32</v>
      </c>
      <c r="X184">
        <v>7.26</v>
      </c>
      <c r="Y184">
        <v>29.64</v>
      </c>
      <c r="Z184">
        <v>8.16</v>
      </c>
      <c r="AA184">
        <v>104793.13</v>
      </c>
      <c r="AB184">
        <v>7.41</v>
      </c>
      <c r="AC184">
        <v>36.15</v>
      </c>
      <c r="AD184">
        <v>8.42</v>
      </c>
    </row>
    <row r="185" spans="1:30" x14ac:dyDescent="0.2">
      <c r="A185" t="s">
        <v>30</v>
      </c>
      <c r="B185" t="s">
        <v>1</v>
      </c>
      <c r="C185" t="s">
        <v>2</v>
      </c>
      <c r="D185" t="s">
        <v>71</v>
      </c>
      <c r="E185" t="s">
        <v>147</v>
      </c>
      <c r="F185" t="s">
        <v>1</v>
      </c>
      <c r="G185" t="s">
        <v>32</v>
      </c>
      <c r="I185" t="s">
        <v>35</v>
      </c>
      <c r="J185" t="s">
        <v>36</v>
      </c>
      <c r="K185" t="s">
        <v>39</v>
      </c>
      <c r="L185">
        <v>10000</v>
      </c>
      <c r="M185">
        <v>5</v>
      </c>
      <c r="N185">
        <v>2000</v>
      </c>
      <c r="O185">
        <v>100</v>
      </c>
      <c r="P185">
        <v>100</v>
      </c>
      <c r="Q185">
        <v>301717</v>
      </c>
      <c r="R185">
        <v>95</v>
      </c>
      <c r="S185">
        <v>295376</v>
      </c>
      <c r="T185">
        <v>94</v>
      </c>
      <c r="U185">
        <v>289908</v>
      </c>
      <c r="V185">
        <v>92</v>
      </c>
      <c r="W185">
        <v>89186.19</v>
      </c>
      <c r="X185">
        <v>9.9</v>
      </c>
      <c r="Y185">
        <v>29.56</v>
      </c>
      <c r="Z185">
        <v>10.47</v>
      </c>
      <c r="AA185">
        <v>108215.71</v>
      </c>
      <c r="AB185">
        <v>10.38</v>
      </c>
      <c r="AC185">
        <v>36.64</v>
      </c>
      <c r="AD185">
        <v>11.04</v>
      </c>
    </row>
    <row r="186" spans="1:30" x14ac:dyDescent="0.2">
      <c r="A186" t="s">
        <v>30</v>
      </c>
      <c r="B186" t="s">
        <v>1</v>
      </c>
      <c r="C186" t="s">
        <v>2</v>
      </c>
      <c r="D186" t="s">
        <v>71</v>
      </c>
      <c r="E186" t="s">
        <v>147</v>
      </c>
      <c r="F186" t="s">
        <v>1</v>
      </c>
      <c r="G186" t="s">
        <v>32</v>
      </c>
      <c r="I186" t="s">
        <v>38</v>
      </c>
      <c r="J186" t="s">
        <v>40</v>
      </c>
      <c r="L186">
        <v>5785</v>
      </c>
      <c r="M186">
        <v>5</v>
      </c>
      <c r="N186">
        <v>1157</v>
      </c>
      <c r="O186">
        <v>57.85</v>
      </c>
      <c r="P186">
        <v>57.85</v>
      </c>
      <c r="Q186">
        <v>587</v>
      </c>
      <c r="R186" t="s">
        <v>33</v>
      </c>
      <c r="S186">
        <v>470</v>
      </c>
      <c r="T186" t="s">
        <v>33</v>
      </c>
      <c r="U186">
        <v>399</v>
      </c>
      <c r="V186" t="s">
        <v>33</v>
      </c>
      <c r="W186">
        <v>415.08</v>
      </c>
      <c r="X186" t="s">
        <v>33</v>
      </c>
      <c r="Y186">
        <v>70.69</v>
      </c>
      <c r="Z186" t="s">
        <v>33</v>
      </c>
      <c r="AA186">
        <v>283.18</v>
      </c>
      <c r="AB186" t="s">
        <v>33</v>
      </c>
      <c r="AC186">
        <v>60.25</v>
      </c>
      <c r="AD186" t="s">
        <v>33</v>
      </c>
    </row>
    <row r="187" spans="1:30" x14ac:dyDescent="0.2">
      <c r="A187" t="s">
        <v>30</v>
      </c>
      <c r="B187" t="s">
        <v>1</v>
      </c>
      <c r="C187" t="s">
        <v>2</v>
      </c>
      <c r="D187" t="s">
        <v>71</v>
      </c>
      <c r="E187" t="s">
        <v>147</v>
      </c>
      <c r="F187" t="s">
        <v>1</v>
      </c>
      <c r="G187" t="s">
        <v>32</v>
      </c>
      <c r="I187" t="s">
        <v>38</v>
      </c>
      <c r="J187" t="s">
        <v>41</v>
      </c>
      <c r="L187">
        <v>5785</v>
      </c>
      <c r="M187">
        <v>5</v>
      </c>
      <c r="N187">
        <v>1157</v>
      </c>
      <c r="O187">
        <v>57.85</v>
      </c>
      <c r="P187">
        <v>57.85</v>
      </c>
      <c r="Q187">
        <v>977</v>
      </c>
      <c r="R187" t="s">
        <v>33</v>
      </c>
      <c r="S187">
        <v>752</v>
      </c>
      <c r="T187" t="s">
        <v>33</v>
      </c>
      <c r="U187">
        <v>890</v>
      </c>
      <c r="V187" t="s">
        <v>33</v>
      </c>
      <c r="W187">
        <v>755.52</v>
      </c>
      <c r="X187" t="s">
        <v>33</v>
      </c>
      <c r="Y187">
        <v>77.3</v>
      </c>
      <c r="Z187" t="s">
        <v>33</v>
      </c>
      <c r="AA187">
        <v>536.70000000000005</v>
      </c>
      <c r="AB187" t="s">
        <v>33</v>
      </c>
      <c r="AC187">
        <v>71.37</v>
      </c>
      <c r="AD187" t="s">
        <v>33</v>
      </c>
    </row>
    <row r="188" spans="1:30" x14ac:dyDescent="0.2">
      <c r="A188" t="s">
        <v>30</v>
      </c>
      <c r="B188" t="s">
        <v>1</v>
      </c>
      <c r="C188" t="s">
        <v>2</v>
      </c>
      <c r="D188" t="s">
        <v>72</v>
      </c>
      <c r="E188" t="s">
        <v>138</v>
      </c>
      <c r="F188" t="s">
        <v>1</v>
      </c>
      <c r="G188" t="s">
        <v>32</v>
      </c>
      <c r="H188" t="s">
        <v>33</v>
      </c>
      <c r="I188" t="s">
        <v>34</v>
      </c>
      <c r="J188" t="s">
        <v>33</v>
      </c>
      <c r="K188" t="s">
        <v>33</v>
      </c>
      <c r="L188">
        <v>49</v>
      </c>
      <c r="M188">
        <v>50</v>
      </c>
      <c r="N188">
        <v>0.98</v>
      </c>
      <c r="O188">
        <v>100</v>
      </c>
      <c r="P188">
        <v>100</v>
      </c>
      <c r="Q188" t="s">
        <v>33</v>
      </c>
      <c r="R188" t="s">
        <v>33</v>
      </c>
      <c r="S188" t="s">
        <v>33</v>
      </c>
      <c r="T188" t="s">
        <v>33</v>
      </c>
      <c r="U188" t="s">
        <v>33</v>
      </c>
      <c r="V188" t="s">
        <v>33</v>
      </c>
      <c r="W188" t="s">
        <v>33</v>
      </c>
      <c r="X188" t="s">
        <v>33</v>
      </c>
      <c r="Y188" t="s">
        <v>33</v>
      </c>
      <c r="Z188" t="s">
        <v>33</v>
      </c>
      <c r="AA188" t="s">
        <v>33</v>
      </c>
      <c r="AB188" t="s">
        <v>33</v>
      </c>
      <c r="AC188" t="s">
        <v>33</v>
      </c>
      <c r="AD188" t="s">
        <v>33</v>
      </c>
    </row>
    <row r="189" spans="1:30" x14ac:dyDescent="0.2">
      <c r="A189" t="s">
        <v>30</v>
      </c>
      <c r="B189" t="s">
        <v>1</v>
      </c>
      <c r="C189" t="s">
        <v>2</v>
      </c>
      <c r="D189" t="s">
        <v>72</v>
      </c>
      <c r="E189" t="s">
        <v>138</v>
      </c>
      <c r="F189" t="s">
        <v>1</v>
      </c>
      <c r="G189" t="s">
        <v>32</v>
      </c>
      <c r="I189" t="s">
        <v>35</v>
      </c>
      <c r="J189" t="s">
        <v>36</v>
      </c>
      <c r="K189" t="s">
        <v>37</v>
      </c>
      <c r="L189">
        <v>49</v>
      </c>
      <c r="M189">
        <v>50</v>
      </c>
      <c r="N189">
        <v>0.98</v>
      </c>
      <c r="O189">
        <v>100</v>
      </c>
      <c r="P189">
        <v>100</v>
      </c>
      <c r="Q189">
        <v>267477</v>
      </c>
      <c r="R189">
        <v>81622</v>
      </c>
      <c r="S189">
        <v>254376</v>
      </c>
      <c r="T189">
        <v>73229</v>
      </c>
      <c r="U189">
        <v>166613</v>
      </c>
      <c r="V189">
        <v>43973</v>
      </c>
      <c r="W189">
        <v>82924.72</v>
      </c>
      <c r="X189">
        <v>32990.370000000003</v>
      </c>
      <c r="Y189">
        <v>31</v>
      </c>
      <c r="Z189">
        <v>40.42</v>
      </c>
      <c r="AA189">
        <v>82718.7</v>
      </c>
      <c r="AB189">
        <v>29315.45</v>
      </c>
      <c r="AC189">
        <v>32.520000000000003</v>
      </c>
      <c r="AD189">
        <v>40.03</v>
      </c>
    </row>
    <row r="190" spans="1:30" x14ac:dyDescent="0.2">
      <c r="A190" t="s">
        <v>30</v>
      </c>
      <c r="B190" t="s">
        <v>1</v>
      </c>
      <c r="C190" t="s">
        <v>2</v>
      </c>
      <c r="D190" t="s">
        <v>72</v>
      </c>
      <c r="E190" t="s">
        <v>138</v>
      </c>
      <c r="F190" t="s">
        <v>1</v>
      </c>
      <c r="G190" t="s">
        <v>32</v>
      </c>
      <c r="I190" t="s">
        <v>38</v>
      </c>
      <c r="J190" t="s">
        <v>36</v>
      </c>
      <c r="K190" t="s">
        <v>39</v>
      </c>
      <c r="L190">
        <v>26</v>
      </c>
      <c r="M190">
        <v>50</v>
      </c>
      <c r="N190">
        <v>0.52</v>
      </c>
      <c r="O190">
        <v>53.061</v>
      </c>
      <c r="P190">
        <v>53.061</v>
      </c>
      <c r="Q190">
        <v>266812</v>
      </c>
      <c r="R190">
        <v>88</v>
      </c>
      <c r="S190">
        <v>253740</v>
      </c>
      <c r="T190">
        <v>87</v>
      </c>
      <c r="U190">
        <v>201600</v>
      </c>
      <c r="V190">
        <v>86</v>
      </c>
      <c r="W190">
        <v>76231.62</v>
      </c>
      <c r="X190">
        <v>6.1</v>
      </c>
      <c r="Y190">
        <v>28.57</v>
      </c>
      <c r="Z190">
        <v>6.95</v>
      </c>
      <c r="AA190">
        <v>74038.080000000002</v>
      </c>
      <c r="AB190">
        <v>4.45</v>
      </c>
      <c r="AC190">
        <v>29.18</v>
      </c>
      <c r="AD190">
        <v>5.1100000000000003</v>
      </c>
    </row>
    <row r="191" spans="1:30" x14ac:dyDescent="0.2">
      <c r="A191" t="s">
        <v>30</v>
      </c>
      <c r="B191" t="s">
        <v>1</v>
      </c>
      <c r="C191" t="s">
        <v>2</v>
      </c>
      <c r="D191" t="s">
        <v>72</v>
      </c>
      <c r="E191" t="s">
        <v>138</v>
      </c>
      <c r="F191" t="s">
        <v>1</v>
      </c>
      <c r="G191" t="s">
        <v>32</v>
      </c>
      <c r="I191" t="s">
        <v>35</v>
      </c>
      <c r="J191" t="s">
        <v>36</v>
      </c>
      <c r="K191" t="s">
        <v>39</v>
      </c>
      <c r="L191">
        <v>49</v>
      </c>
      <c r="M191">
        <v>50</v>
      </c>
      <c r="N191">
        <v>0.98</v>
      </c>
      <c r="O191">
        <v>100</v>
      </c>
      <c r="P191">
        <v>100</v>
      </c>
      <c r="Q191">
        <v>267477</v>
      </c>
      <c r="R191">
        <v>93</v>
      </c>
      <c r="S191">
        <v>254376</v>
      </c>
      <c r="T191">
        <v>92</v>
      </c>
      <c r="U191">
        <v>166613</v>
      </c>
      <c r="V191">
        <v>86</v>
      </c>
      <c r="W191">
        <v>82924.72</v>
      </c>
      <c r="X191">
        <v>8.61</v>
      </c>
      <c r="Y191">
        <v>31</v>
      </c>
      <c r="Z191">
        <v>9.26</v>
      </c>
      <c r="AA191">
        <v>82718.7</v>
      </c>
      <c r="AB191">
        <v>8.9</v>
      </c>
      <c r="AC191">
        <v>32.520000000000003</v>
      </c>
      <c r="AD191">
        <v>9.67</v>
      </c>
    </row>
    <row r="192" spans="1:30" x14ac:dyDescent="0.2">
      <c r="A192" t="s">
        <v>30</v>
      </c>
      <c r="B192" t="s">
        <v>1</v>
      </c>
      <c r="C192" t="s">
        <v>2</v>
      </c>
      <c r="D192" t="s">
        <v>72</v>
      </c>
      <c r="E192" t="s">
        <v>138</v>
      </c>
      <c r="F192" t="s">
        <v>1</v>
      </c>
      <c r="G192" t="s">
        <v>32</v>
      </c>
      <c r="I192" t="s">
        <v>38</v>
      </c>
      <c r="J192" t="s">
        <v>40</v>
      </c>
      <c r="L192">
        <v>26</v>
      </c>
      <c r="M192">
        <v>50</v>
      </c>
      <c r="N192">
        <v>0.52</v>
      </c>
      <c r="O192">
        <v>53.061</v>
      </c>
      <c r="P192">
        <v>53.061</v>
      </c>
      <c r="Q192">
        <v>490</v>
      </c>
      <c r="R192" t="s">
        <v>33</v>
      </c>
      <c r="S192">
        <v>365</v>
      </c>
      <c r="T192" t="s">
        <v>33</v>
      </c>
      <c r="U192">
        <v>281</v>
      </c>
      <c r="V192" t="s">
        <v>33</v>
      </c>
      <c r="W192">
        <v>326.51</v>
      </c>
      <c r="X192" t="s">
        <v>33</v>
      </c>
      <c r="Y192">
        <v>66.64</v>
      </c>
      <c r="Z192" t="s">
        <v>33</v>
      </c>
      <c r="AA192">
        <v>264.64</v>
      </c>
      <c r="AB192" t="s">
        <v>33</v>
      </c>
      <c r="AC192">
        <v>72.599999999999994</v>
      </c>
      <c r="AD192" t="s">
        <v>33</v>
      </c>
    </row>
    <row r="193" spans="1:30" x14ac:dyDescent="0.2">
      <c r="A193" t="s">
        <v>30</v>
      </c>
      <c r="B193" t="s">
        <v>1</v>
      </c>
      <c r="C193" t="s">
        <v>2</v>
      </c>
      <c r="D193" t="s">
        <v>72</v>
      </c>
      <c r="E193" t="s">
        <v>138</v>
      </c>
      <c r="F193" t="s">
        <v>1</v>
      </c>
      <c r="G193" t="s">
        <v>32</v>
      </c>
      <c r="I193" t="s">
        <v>38</v>
      </c>
      <c r="J193" t="s">
        <v>41</v>
      </c>
      <c r="L193">
        <v>26</v>
      </c>
      <c r="M193">
        <v>50</v>
      </c>
      <c r="N193">
        <v>0.52</v>
      </c>
      <c r="O193">
        <v>53.061</v>
      </c>
      <c r="P193">
        <v>53.061</v>
      </c>
      <c r="Q193">
        <v>1028</v>
      </c>
      <c r="R193" t="s">
        <v>33</v>
      </c>
      <c r="S193">
        <v>643</v>
      </c>
      <c r="T193" t="s">
        <v>33</v>
      </c>
      <c r="U193">
        <v>572</v>
      </c>
      <c r="V193" t="s">
        <v>33</v>
      </c>
      <c r="W193">
        <v>1229.6500000000001</v>
      </c>
      <c r="X193" t="s">
        <v>33</v>
      </c>
      <c r="Y193">
        <v>119.59</v>
      </c>
      <c r="Z193" t="s">
        <v>33</v>
      </c>
      <c r="AA193">
        <v>539.66999999999996</v>
      </c>
      <c r="AB193" t="s">
        <v>33</v>
      </c>
      <c r="AC193">
        <v>83.93</v>
      </c>
      <c r="AD193" t="s">
        <v>33</v>
      </c>
    </row>
    <row r="194" spans="1:30" x14ac:dyDescent="0.2">
      <c r="A194" t="s">
        <v>30</v>
      </c>
      <c r="B194" t="s">
        <v>1</v>
      </c>
      <c r="C194" t="s">
        <v>2</v>
      </c>
      <c r="D194" t="s">
        <v>73</v>
      </c>
      <c r="E194" t="s">
        <v>148</v>
      </c>
      <c r="F194" t="s">
        <v>1</v>
      </c>
      <c r="G194" t="s">
        <v>32</v>
      </c>
      <c r="H194" t="s">
        <v>33</v>
      </c>
      <c r="I194" t="s">
        <v>34</v>
      </c>
      <c r="J194" t="s">
        <v>33</v>
      </c>
      <c r="K194" t="s">
        <v>33</v>
      </c>
      <c r="L194">
        <v>10000</v>
      </c>
      <c r="M194">
        <v>5</v>
      </c>
      <c r="N194">
        <v>2000</v>
      </c>
      <c r="O194">
        <v>100</v>
      </c>
      <c r="P194">
        <v>100</v>
      </c>
      <c r="Q194" t="s">
        <v>33</v>
      </c>
      <c r="R194" t="s">
        <v>33</v>
      </c>
      <c r="S194" t="s">
        <v>33</v>
      </c>
      <c r="T194" t="s">
        <v>33</v>
      </c>
      <c r="U194" t="s">
        <v>33</v>
      </c>
      <c r="V194" t="s">
        <v>33</v>
      </c>
      <c r="W194" t="s">
        <v>33</v>
      </c>
      <c r="X194" t="s">
        <v>33</v>
      </c>
      <c r="Y194" t="s">
        <v>33</v>
      </c>
      <c r="Z194" t="s">
        <v>33</v>
      </c>
      <c r="AA194" t="s">
        <v>33</v>
      </c>
      <c r="AB194" t="s">
        <v>33</v>
      </c>
      <c r="AC194" t="s">
        <v>33</v>
      </c>
      <c r="AD194" t="s">
        <v>33</v>
      </c>
    </row>
    <row r="195" spans="1:30" x14ac:dyDescent="0.2">
      <c r="A195" t="s">
        <v>30</v>
      </c>
      <c r="B195" t="s">
        <v>1</v>
      </c>
      <c r="C195" t="s">
        <v>2</v>
      </c>
      <c r="D195" t="s">
        <v>73</v>
      </c>
      <c r="E195" t="s">
        <v>148</v>
      </c>
      <c r="F195" t="s">
        <v>1</v>
      </c>
      <c r="G195" t="s">
        <v>32</v>
      </c>
      <c r="I195" t="s">
        <v>35</v>
      </c>
      <c r="J195" t="s">
        <v>36</v>
      </c>
      <c r="K195" t="s">
        <v>37</v>
      </c>
      <c r="L195">
        <v>10000</v>
      </c>
      <c r="M195">
        <v>5</v>
      </c>
      <c r="N195">
        <v>2000</v>
      </c>
      <c r="O195">
        <v>100</v>
      </c>
      <c r="P195">
        <v>100</v>
      </c>
      <c r="Q195">
        <v>320578</v>
      </c>
      <c r="R195">
        <v>91216</v>
      </c>
      <c r="S195">
        <v>317755</v>
      </c>
      <c r="T195">
        <v>86329</v>
      </c>
      <c r="U195">
        <v>300125</v>
      </c>
      <c r="V195">
        <v>81015</v>
      </c>
      <c r="W195">
        <v>83984.08</v>
      </c>
      <c r="X195">
        <v>32552.36</v>
      </c>
      <c r="Y195">
        <v>26.2</v>
      </c>
      <c r="Z195">
        <v>35.69</v>
      </c>
      <c r="AA195">
        <v>98426.11</v>
      </c>
      <c r="AB195">
        <v>31160.54</v>
      </c>
      <c r="AC195">
        <v>30.98</v>
      </c>
      <c r="AD195">
        <v>36.1</v>
      </c>
    </row>
    <row r="196" spans="1:30" x14ac:dyDescent="0.2">
      <c r="A196" t="s">
        <v>30</v>
      </c>
      <c r="B196" t="s">
        <v>1</v>
      </c>
      <c r="C196" t="s">
        <v>2</v>
      </c>
      <c r="D196" t="s">
        <v>73</v>
      </c>
      <c r="E196" t="s">
        <v>148</v>
      </c>
      <c r="F196" t="s">
        <v>1</v>
      </c>
      <c r="G196" t="s">
        <v>32</v>
      </c>
      <c r="I196" t="s">
        <v>38</v>
      </c>
      <c r="J196" t="s">
        <v>36</v>
      </c>
      <c r="K196" t="s">
        <v>39</v>
      </c>
      <c r="L196">
        <v>5199</v>
      </c>
      <c r="M196">
        <v>5</v>
      </c>
      <c r="N196">
        <v>1039.8</v>
      </c>
      <c r="O196">
        <v>51.99</v>
      </c>
      <c r="P196">
        <v>51.99</v>
      </c>
      <c r="Q196">
        <v>323234</v>
      </c>
      <c r="R196">
        <v>89</v>
      </c>
      <c r="S196">
        <v>320558</v>
      </c>
      <c r="T196">
        <v>89</v>
      </c>
      <c r="U196">
        <v>300121</v>
      </c>
      <c r="V196">
        <v>84</v>
      </c>
      <c r="W196">
        <v>83072.36</v>
      </c>
      <c r="X196">
        <v>7.23</v>
      </c>
      <c r="Y196">
        <v>25.7</v>
      </c>
      <c r="Z196">
        <v>8.09</v>
      </c>
      <c r="AA196">
        <v>97059.89</v>
      </c>
      <c r="AB196">
        <v>7.41</v>
      </c>
      <c r="AC196">
        <v>30.28</v>
      </c>
      <c r="AD196">
        <v>8.33</v>
      </c>
    </row>
    <row r="197" spans="1:30" x14ac:dyDescent="0.2">
      <c r="A197" t="s">
        <v>30</v>
      </c>
      <c r="B197" t="s">
        <v>1</v>
      </c>
      <c r="C197" t="s">
        <v>2</v>
      </c>
      <c r="D197" t="s">
        <v>73</v>
      </c>
      <c r="E197" t="s">
        <v>148</v>
      </c>
      <c r="F197" t="s">
        <v>1</v>
      </c>
      <c r="G197" t="s">
        <v>32</v>
      </c>
      <c r="I197" t="s">
        <v>35</v>
      </c>
      <c r="J197" t="s">
        <v>36</v>
      </c>
      <c r="K197" t="s">
        <v>39</v>
      </c>
      <c r="L197">
        <v>10000</v>
      </c>
      <c r="M197">
        <v>5</v>
      </c>
      <c r="N197">
        <v>2000</v>
      </c>
      <c r="O197">
        <v>100</v>
      </c>
      <c r="P197">
        <v>100</v>
      </c>
      <c r="Q197">
        <v>320578</v>
      </c>
      <c r="R197">
        <v>95</v>
      </c>
      <c r="S197">
        <v>317755</v>
      </c>
      <c r="T197">
        <v>95</v>
      </c>
      <c r="U197">
        <v>300125</v>
      </c>
      <c r="V197">
        <v>95</v>
      </c>
      <c r="W197">
        <v>83984.08</v>
      </c>
      <c r="X197">
        <v>9.64</v>
      </c>
      <c r="Y197">
        <v>26.2</v>
      </c>
      <c r="Z197">
        <v>10.130000000000001</v>
      </c>
      <c r="AA197">
        <v>98426.11</v>
      </c>
      <c r="AB197">
        <v>10.38</v>
      </c>
      <c r="AC197">
        <v>30.98</v>
      </c>
      <c r="AD197">
        <v>10.92</v>
      </c>
    </row>
    <row r="198" spans="1:30" x14ac:dyDescent="0.2">
      <c r="A198" t="s">
        <v>30</v>
      </c>
      <c r="B198" t="s">
        <v>1</v>
      </c>
      <c r="C198" t="s">
        <v>2</v>
      </c>
      <c r="D198" t="s">
        <v>73</v>
      </c>
      <c r="E198" t="s">
        <v>148</v>
      </c>
      <c r="F198" t="s">
        <v>1</v>
      </c>
      <c r="G198" t="s">
        <v>32</v>
      </c>
      <c r="I198" t="s">
        <v>38</v>
      </c>
      <c r="J198" t="s">
        <v>40</v>
      </c>
      <c r="L198">
        <v>5199</v>
      </c>
      <c r="M198">
        <v>5</v>
      </c>
      <c r="N198">
        <v>1039.8</v>
      </c>
      <c r="O198">
        <v>51.99</v>
      </c>
      <c r="P198">
        <v>51.99</v>
      </c>
      <c r="Q198">
        <v>428</v>
      </c>
      <c r="R198" t="s">
        <v>33</v>
      </c>
      <c r="S198">
        <v>346</v>
      </c>
      <c r="T198" t="s">
        <v>33</v>
      </c>
      <c r="U198">
        <v>309</v>
      </c>
      <c r="V198" t="s">
        <v>33</v>
      </c>
      <c r="W198">
        <v>295.11</v>
      </c>
      <c r="X198" t="s">
        <v>33</v>
      </c>
      <c r="Y198">
        <v>69</v>
      </c>
      <c r="Z198" t="s">
        <v>33</v>
      </c>
      <c r="AA198">
        <v>177.91</v>
      </c>
      <c r="AB198" t="s">
        <v>33</v>
      </c>
      <c r="AC198">
        <v>51.42</v>
      </c>
      <c r="AD198" t="s">
        <v>33</v>
      </c>
    </row>
    <row r="199" spans="1:30" x14ac:dyDescent="0.2">
      <c r="A199" t="s">
        <v>30</v>
      </c>
      <c r="B199" t="s">
        <v>1</v>
      </c>
      <c r="C199" t="s">
        <v>2</v>
      </c>
      <c r="D199" t="s">
        <v>73</v>
      </c>
      <c r="E199" t="s">
        <v>148</v>
      </c>
      <c r="F199" t="s">
        <v>1</v>
      </c>
      <c r="G199" t="s">
        <v>32</v>
      </c>
      <c r="I199" t="s">
        <v>38</v>
      </c>
      <c r="J199" t="s">
        <v>41</v>
      </c>
      <c r="L199">
        <v>5199</v>
      </c>
      <c r="M199">
        <v>5</v>
      </c>
      <c r="N199">
        <v>1039.8</v>
      </c>
      <c r="O199">
        <v>51.99</v>
      </c>
      <c r="P199">
        <v>51.99</v>
      </c>
      <c r="Q199">
        <v>715</v>
      </c>
      <c r="R199" t="s">
        <v>33</v>
      </c>
      <c r="S199">
        <v>457</v>
      </c>
      <c r="T199" t="s">
        <v>33</v>
      </c>
      <c r="U199">
        <v>309</v>
      </c>
      <c r="V199" t="s">
        <v>33</v>
      </c>
      <c r="W199">
        <v>793.72</v>
      </c>
      <c r="X199" t="s">
        <v>33</v>
      </c>
      <c r="Y199">
        <v>110.95</v>
      </c>
      <c r="Z199" t="s">
        <v>33</v>
      </c>
      <c r="AA199">
        <v>296.52</v>
      </c>
      <c r="AB199" t="s">
        <v>33</v>
      </c>
      <c r="AC199">
        <v>64.88</v>
      </c>
      <c r="AD199" t="s">
        <v>33</v>
      </c>
    </row>
    <row r="200" spans="1:30" x14ac:dyDescent="0.2">
      <c r="A200" t="s">
        <v>30</v>
      </c>
      <c r="B200" t="s">
        <v>1</v>
      </c>
      <c r="C200" t="s">
        <v>2</v>
      </c>
      <c r="D200" t="s">
        <v>74</v>
      </c>
      <c r="E200" t="s">
        <v>149</v>
      </c>
      <c r="F200" t="s">
        <v>1</v>
      </c>
      <c r="G200" t="s">
        <v>32</v>
      </c>
      <c r="H200" t="s">
        <v>33</v>
      </c>
      <c r="I200" t="s">
        <v>34</v>
      </c>
      <c r="J200" t="s">
        <v>33</v>
      </c>
      <c r="K200" t="s">
        <v>33</v>
      </c>
      <c r="L200">
        <v>10000</v>
      </c>
      <c r="M200">
        <v>4</v>
      </c>
      <c r="N200">
        <v>2500</v>
      </c>
      <c r="O200">
        <v>100</v>
      </c>
      <c r="P200">
        <v>100</v>
      </c>
      <c r="Q200" t="s">
        <v>33</v>
      </c>
      <c r="R200" t="s">
        <v>33</v>
      </c>
      <c r="S200" t="s">
        <v>33</v>
      </c>
      <c r="T200" t="s">
        <v>33</v>
      </c>
      <c r="U200" t="s">
        <v>33</v>
      </c>
      <c r="V200" t="s">
        <v>33</v>
      </c>
      <c r="W200" t="s">
        <v>33</v>
      </c>
      <c r="X200" t="s">
        <v>33</v>
      </c>
      <c r="Y200" t="s">
        <v>33</v>
      </c>
      <c r="Z200" t="s">
        <v>33</v>
      </c>
      <c r="AA200" t="s">
        <v>33</v>
      </c>
      <c r="AB200" t="s">
        <v>33</v>
      </c>
      <c r="AC200" t="s">
        <v>33</v>
      </c>
      <c r="AD200" t="s">
        <v>33</v>
      </c>
    </row>
    <row r="201" spans="1:30" x14ac:dyDescent="0.2">
      <c r="A201" t="s">
        <v>30</v>
      </c>
      <c r="B201" t="s">
        <v>1</v>
      </c>
      <c r="C201" t="s">
        <v>2</v>
      </c>
      <c r="D201" t="s">
        <v>74</v>
      </c>
      <c r="E201" t="s">
        <v>149</v>
      </c>
      <c r="F201" t="s">
        <v>1</v>
      </c>
      <c r="G201" t="s">
        <v>32</v>
      </c>
      <c r="I201" t="s">
        <v>35</v>
      </c>
      <c r="J201" t="s">
        <v>36</v>
      </c>
      <c r="K201" t="s">
        <v>37</v>
      </c>
      <c r="L201">
        <v>10000</v>
      </c>
      <c r="M201">
        <v>4</v>
      </c>
      <c r="N201">
        <v>2500</v>
      </c>
      <c r="O201">
        <v>100</v>
      </c>
      <c r="P201">
        <v>100</v>
      </c>
      <c r="Q201">
        <v>305604</v>
      </c>
      <c r="R201">
        <v>92390</v>
      </c>
      <c r="S201">
        <v>299709</v>
      </c>
      <c r="T201">
        <v>86626</v>
      </c>
      <c r="U201">
        <v>236633</v>
      </c>
      <c r="V201">
        <v>82979</v>
      </c>
      <c r="W201">
        <v>84737.12</v>
      </c>
      <c r="X201">
        <v>34000.49</v>
      </c>
      <c r="Y201">
        <v>27.73</v>
      </c>
      <c r="Z201">
        <v>36.799999999999997</v>
      </c>
      <c r="AA201">
        <v>99922.79</v>
      </c>
      <c r="AB201">
        <v>33573.480000000003</v>
      </c>
      <c r="AC201">
        <v>33.340000000000003</v>
      </c>
      <c r="AD201">
        <v>38.76</v>
      </c>
    </row>
    <row r="202" spans="1:30" x14ac:dyDescent="0.2">
      <c r="A202" t="s">
        <v>30</v>
      </c>
      <c r="B202" t="s">
        <v>1</v>
      </c>
      <c r="C202" t="s">
        <v>2</v>
      </c>
      <c r="D202" t="s">
        <v>74</v>
      </c>
      <c r="E202" t="s">
        <v>149</v>
      </c>
      <c r="F202" t="s">
        <v>1</v>
      </c>
      <c r="G202" t="s">
        <v>32</v>
      </c>
      <c r="I202" t="s">
        <v>38</v>
      </c>
      <c r="J202" t="s">
        <v>36</v>
      </c>
      <c r="K202" t="s">
        <v>39</v>
      </c>
      <c r="L202">
        <v>5955</v>
      </c>
      <c r="M202">
        <v>4</v>
      </c>
      <c r="N202">
        <v>1488.75</v>
      </c>
      <c r="O202">
        <v>59.55</v>
      </c>
      <c r="P202">
        <v>59.55</v>
      </c>
      <c r="Q202">
        <v>302192</v>
      </c>
      <c r="R202">
        <v>89</v>
      </c>
      <c r="S202">
        <v>294131</v>
      </c>
      <c r="T202">
        <v>88</v>
      </c>
      <c r="U202">
        <v>248874</v>
      </c>
      <c r="V202">
        <v>85</v>
      </c>
      <c r="W202">
        <v>83332.03</v>
      </c>
      <c r="X202">
        <v>7.09</v>
      </c>
      <c r="Y202">
        <v>27.58</v>
      </c>
      <c r="Z202">
        <v>7.98</v>
      </c>
      <c r="AA202">
        <v>95919.77</v>
      </c>
      <c r="AB202">
        <v>7.41</v>
      </c>
      <c r="AC202">
        <v>32.61</v>
      </c>
      <c r="AD202">
        <v>8.42</v>
      </c>
    </row>
    <row r="203" spans="1:30" x14ac:dyDescent="0.2">
      <c r="A203" t="s">
        <v>30</v>
      </c>
      <c r="B203" t="s">
        <v>1</v>
      </c>
      <c r="C203" t="s">
        <v>2</v>
      </c>
      <c r="D203" t="s">
        <v>74</v>
      </c>
      <c r="E203" t="s">
        <v>149</v>
      </c>
      <c r="F203" t="s">
        <v>1</v>
      </c>
      <c r="G203" t="s">
        <v>32</v>
      </c>
      <c r="I203" t="s">
        <v>35</v>
      </c>
      <c r="J203" t="s">
        <v>36</v>
      </c>
      <c r="K203" t="s">
        <v>39</v>
      </c>
      <c r="L203">
        <v>10000</v>
      </c>
      <c r="M203">
        <v>4</v>
      </c>
      <c r="N203">
        <v>2500</v>
      </c>
      <c r="O203">
        <v>100</v>
      </c>
      <c r="P203">
        <v>100</v>
      </c>
      <c r="Q203">
        <v>305604</v>
      </c>
      <c r="R203">
        <v>94</v>
      </c>
      <c r="S203">
        <v>299709</v>
      </c>
      <c r="T203">
        <v>94</v>
      </c>
      <c r="U203">
        <v>236633</v>
      </c>
      <c r="V203">
        <v>95</v>
      </c>
      <c r="W203">
        <v>84737.12</v>
      </c>
      <c r="X203">
        <v>9.86</v>
      </c>
      <c r="Y203">
        <v>27.73</v>
      </c>
      <c r="Z203">
        <v>10.47</v>
      </c>
      <c r="AA203">
        <v>99922.79</v>
      </c>
      <c r="AB203">
        <v>10.38</v>
      </c>
      <c r="AC203">
        <v>33.340000000000003</v>
      </c>
      <c r="AD203">
        <v>11.04</v>
      </c>
    </row>
    <row r="204" spans="1:30" x14ac:dyDescent="0.2">
      <c r="A204" t="s">
        <v>30</v>
      </c>
      <c r="B204" t="s">
        <v>1</v>
      </c>
      <c r="C204" t="s">
        <v>2</v>
      </c>
      <c r="D204" t="s">
        <v>74</v>
      </c>
      <c r="E204" t="s">
        <v>149</v>
      </c>
      <c r="F204" t="s">
        <v>1</v>
      </c>
      <c r="G204" t="s">
        <v>32</v>
      </c>
      <c r="I204" t="s">
        <v>38</v>
      </c>
      <c r="J204" t="s">
        <v>40</v>
      </c>
      <c r="L204">
        <v>5955</v>
      </c>
      <c r="M204">
        <v>4</v>
      </c>
      <c r="N204">
        <v>1488.75</v>
      </c>
      <c r="O204">
        <v>59.55</v>
      </c>
      <c r="P204">
        <v>59.55</v>
      </c>
      <c r="Q204">
        <v>483</v>
      </c>
      <c r="R204" t="s">
        <v>33</v>
      </c>
      <c r="S204">
        <v>384</v>
      </c>
      <c r="T204" t="s">
        <v>33</v>
      </c>
      <c r="U204">
        <v>309</v>
      </c>
      <c r="V204" t="s">
        <v>33</v>
      </c>
      <c r="W204">
        <v>338.56</v>
      </c>
      <c r="X204" t="s">
        <v>33</v>
      </c>
      <c r="Y204">
        <v>70.16</v>
      </c>
      <c r="Z204" t="s">
        <v>33</v>
      </c>
      <c r="AA204">
        <v>228.32</v>
      </c>
      <c r="AB204" t="s">
        <v>33</v>
      </c>
      <c r="AC204">
        <v>59.46</v>
      </c>
      <c r="AD204" t="s">
        <v>33</v>
      </c>
    </row>
    <row r="205" spans="1:30" x14ac:dyDescent="0.2">
      <c r="A205" t="s">
        <v>30</v>
      </c>
      <c r="B205" t="s">
        <v>1</v>
      </c>
      <c r="C205" t="s">
        <v>2</v>
      </c>
      <c r="D205" t="s">
        <v>74</v>
      </c>
      <c r="E205" t="s">
        <v>149</v>
      </c>
      <c r="F205" t="s">
        <v>1</v>
      </c>
      <c r="G205" t="s">
        <v>32</v>
      </c>
      <c r="I205" t="s">
        <v>38</v>
      </c>
      <c r="J205" t="s">
        <v>41</v>
      </c>
      <c r="L205">
        <v>5955</v>
      </c>
      <c r="M205">
        <v>4</v>
      </c>
      <c r="N205">
        <v>1488.75</v>
      </c>
      <c r="O205">
        <v>59.55</v>
      </c>
      <c r="P205">
        <v>59.55</v>
      </c>
      <c r="Q205">
        <v>886</v>
      </c>
      <c r="R205" t="s">
        <v>33</v>
      </c>
      <c r="S205">
        <v>559</v>
      </c>
      <c r="T205" t="s">
        <v>33</v>
      </c>
      <c r="U205">
        <v>288</v>
      </c>
      <c r="V205" t="s">
        <v>33</v>
      </c>
      <c r="W205">
        <v>881.56</v>
      </c>
      <c r="X205" t="s">
        <v>33</v>
      </c>
      <c r="Y205">
        <v>99.54</v>
      </c>
      <c r="Z205" t="s">
        <v>33</v>
      </c>
      <c r="AA205">
        <v>523.36</v>
      </c>
      <c r="AB205" t="s">
        <v>33</v>
      </c>
      <c r="AC205">
        <v>93.62</v>
      </c>
      <c r="AD205" t="s">
        <v>33</v>
      </c>
    </row>
    <row r="206" spans="1:30" x14ac:dyDescent="0.2">
      <c r="A206" t="s">
        <v>30</v>
      </c>
      <c r="B206" t="s">
        <v>1</v>
      </c>
      <c r="C206" t="s">
        <v>2</v>
      </c>
      <c r="D206" t="s">
        <v>75</v>
      </c>
      <c r="E206" t="s">
        <v>150</v>
      </c>
      <c r="F206" t="s">
        <v>1</v>
      </c>
      <c r="G206" t="s">
        <v>32</v>
      </c>
      <c r="H206" t="s">
        <v>33</v>
      </c>
      <c r="I206" t="s">
        <v>34</v>
      </c>
      <c r="J206" t="s">
        <v>33</v>
      </c>
      <c r="K206" t="s">
        <v>33</v>
      </c>
      <c r="L206">
        <v>10000</v>
      </c>
      <c r="M206">
        <v>4</v>
      </c>
      <c r="N206">
        <v>2500</v>
      </c>
      <c r="O206">
        <v>100</v>
      </c>
      <c r="P206">
        <v>100</v>
      </c>
      <c r="Q206" t="s">
        <v>33</v>
      </c>
      <c r="R206" t="s">
        <v>33</v>
      </c>
      <c r="S206" t="s">
        <v>33</v>
      </c>
      <c r="T206" t="s">
        <v>33</v>
      </c>
      <c r="U206" t="s">
        <v>33</v>
      </c>
      <c r="V206" t="s">
        <v>33</v>
      </c>
      <c r="W206" t="s">
        <v>33</v>
      </c>
      <c r="X206" t="s">
        <v>33</v>
      </c>
      <c r="Y206" t="s">
        <v>33</v>
      </c>
      <c r="Z206" t="s">
        <v>33</v>
      </c>
      <c r="AA206" t="s">
        <v>33</v>
      </c>
      <c r="AB206" t="s">
        <v>33</v>
      </c>
      <c r="AC206" t="s">
        <v>33</v>
      </c>
      <c r="AD206" t="s">
        <v>33</v>
      </c>
    </row>
    <row r="207" spans="1:30" x14ac:dyDescent="0.2">
      <c r="A207" t="s">
        <v>30</v>
      </c>
      <c r="B207" t="s">
        <v>1</v>
      </c>
      <c r="C207" t="s">
        <v>2</v>
      </c>
      <c r="D207" t="s">
        <v>75</v>
      </c>
      <c r="E207" t="s">
        <v>150</v>
      </c>
      <c r="F207" t="s">
        <v>1</v>
      </c>
      <c r="G207" t="s">
        <v>32</v>
      </c>
      <c r="I207" t="s">
        <v>35</v>
      </c>
      <c r="J207" t="s">
        <v>36</v>
      </c>
      <c r="K207" t="s">
        <v>37</v>
      </c>
      <c r="L207">
        <v>10000</v>
      </c>
      <c r="M207">
        <v>4</v>
      </c>
      <c r="N207">
        <v>2500</v>
      </c>
      <c r="O207">
        <v>100</v>
      </c>
      <c r="P207">
        <v>100</v>
      </c>
      <c r="Q207">
        <v>313955</v>
      </c>
      <c r="R207">
        <v>91892</v>
      </c>
      <c r="S207">
        <v>311004</v>
      </c>
      <c r="T207">
        <v>86567</v>
      </c>
      <c r="U207">
        <v>316308</v>
      </c>
      <c r="V207">
        <v>82991</v>
      </c>
      <c r="W207">
        <v>84180.83</v>
      </c>
      <c r="X207">
        <v>32989.279999999999</v>
      </c>
      <c r="Y207">
        <v>26.81</v>
      </c>
      <c r="Z207">
        <v>35.9</v>
      </c>
      <c r="AA207">
        <v>97910.9</v>
      </c>
      <c r="AB207">
        <v>32467.46</v>
      </c>
      <c r="AC207">
        <v>31.48</v>
      </c>
      <c r="AD207">
        <v>37.51</v>
      </c>
    </row>
    <row r="208" spans="1:30" x14ac:dyDescent="0.2">
      <c r="A208" t="s">
        <v>30</v>
      </c>
      <c r="B208" t="s">
        <v>1</v>
      </c>
      <c r="C208" t="s">
        <v>2</v>
      </c>
      <c r="D208" t="s">
        <v>75</v>
      </c>
      <c r="E208" t="s">
        <v>150</v>
      </c>
      <c r="F208" t="s">
        <v>1</v>
      </c>
      <c r="G208" t="s">
        <v>32</v>
      </c>
      <c r="I208" t="s">
        <v>38</v>
      </c>
      <c r="J208" t="s">
        <v>36</v>
      </c>
      <c r="K208" t="s">
        <v>39</v>
      </c>
      <c r="L208">
        <v>5151</v>
      </c>
      <c r="M208">
        <v>4</v>
      </c>
      <c r="N208">
        <v>1287.75</v>
      </c>
      <c r="O208">
        <v>51.51</v>
      </c>
      <c r="P208">
        <v>51.51</v>
      </c>
      <c r="Q208">
        <v>317979</v>
      </c>
      <c r="R208">
        <v>89</v>
      </c>
      <c r="S208">
        <v>315237</v>
      </c>
      <c r="T208">
        <v>88</v>
      </c>
      <c r="U208">
        <v>261141</v>
      </c>
      <c r="V208">
        <v>86</v>
      </c>
      <c r="W208">
        <v>83478.600000000006</v>
      </c>
      <c r="X208">
        <v>7.27</v>
      </c>
      <c r="Y208">
        <v>26.25</v>
      </c>
      <c r="Z208">
        <v>8.1999999999999993</v>
      </c>
      <c r="AA208">
        <v>97359.38</v>
      </c>
      <c r="AB208">
        <v>7.41</v>
      </c>
      <c r="AC208">
        <v>30.88</v>
      </c>
      <c r="AD208">
        <v>8.42</v>
      </c>
    </row>
    <row r="209" spans="1:30" x14ac:dyDescent="0.2">
      <c r="A209" t="s">
        <v>30</v>
      </c>
      <c r="B209" t="s">
        <v>1</v>
      </c>
      <c r="C209" t="s">
        <v>2</v>
      </c>
      <c r="D209" t="s">
        <v>75</v>
      </c>
      <c r="E209" t="s">
        <v>150</v>
      </c>
      <c r="F209" t="s">
        <v>1</v>
      </c>
      <c r="G209" t="s">
        <v>32</v>
      </c>
      <c r="I209" t="s">
        <v>35</v>
      </c>
      <c r="J209" t="s">
        <v>36</v>
      </c>
      <c r="K209" t="s">
        <v>39</v>
      </c>
      <c r="L209">
        <v>10000</v>
      </c>
      <c r="M209">
        <v>4</v>
      </c>
      <c r="N209">
        <v>2500</v>
      </c>
      <c r="O209">
        <v>100</v>
      </c>
      <c r="P209">
        <v>100</v>
      </c>
      <c r="Q209">
        <v>313955</v>
      </c>
      <c r="R209">
        <v>95</v>
      </c>
      <c r="S209">
        <v>311004</v>
      </c>
      <c r="T209">
        <v>95</v>
      </c>
      <c r="U209">
        <v>316308</v>
      </c>
      <c r="V209">
        <v>95</v>
      </c>
      <c r="W209">
        <v>84180.83</v>
      </c>
      <c r="X209">
        <v>9.8800000000000008</v>
      </c>
      <c r="Y209">
        <v>26.81</v>
      </c>
      <c r="Z209">
        <v>10.41</v>
      </c>
      <c r="AA209">
        <v>97910.9</v>
      </c>
      <c r="AB209">
        <v>10.38</v>
      </c>
      <c r="AC209">
        <v>31.48</v>
      </c>
      <c r="AD209">
        <v>10.92</v>
      </c>
    </row>
    <row r="210" spans="1:30" x14ac:dyDescent="0.2">
      <c r="A210" t="s">
        <v>30</v>
      </c>
      <c r="B210" t="s">
        <v>1</v>
      </c>
      <c r="C210" t="s">
        <v>2</v>
      </c>
      <c r="D210" t="s">
        <v>75</v>
      </c>
      <c r="E210" t="s">
        <v>150</v>
      </c>
      <c r="F210" t="s">
        <v>1</v>
      </c>
      <c r="G210" t="s">
        <v>32</v>
      </c>
      <c r="I210" t="s">
        <v>38</v>
      </c>
      <c r="J210" t="s">
        <v>40</v>
      </c>
      <c r="L210">
        <v>5151</v>
      </c>
      <c r="M210">
        <v>4</v>
      </c>
      <c r="N210">
        <v>1287.75</v>
      </c>
      <c r="O210">
        <v>51.51</v>
      </c>
      <c r="P210">
        <v>51.51</v>
      </c>
      <c r="Q210">
        <v>518</v>
      </c>
      <c r="R210" t="s">
        <v>33</v>
      </c>
      <c r="S210">
        <v>408</v>
      </c>
      <c r="T210" t="s">
        <v>33</v>
      </c>
      <c r="U210">
        <v>434</v>
      </c>
      <c r="V210" t="s">
        <v>33</v>
      </c>
      <c r="W210">
        <v>371.76</v>
      </c>
      <c r="X210" t="s">
        <v>33</v>
      </c>
      <c r="Y210">
        <v>71.72</v>
      </c>
      <c r="Z210" t="s">
        <v>33</v>
      </c>
      <c r="AA210">
        <v>228.32</v>
      </c>
      <c r="AB210" t="s">
        <v>33</v>
      </c>
      <c r="AC210">
        <v>55.96</v>
      </c>
      <c r="AD210" t="s">
        <v>33</v>
      </c>
    </row>
    <row r="211" spans="1:30" x14ac:dyDescent="0.2">
      <c r="A211" t="s">
        <v>30</v>
      </c>
      <c r="B211" t="s">
        <v>1</v>
      </c>
      <c r="C211" t="s">
        <v>2</v>
      </c>
      <c r="D211" t="s">
        <v>75</v>
      </c>
      <c r="E211" t="s">
        <v>150</v>
      </c>
      <c r="F211" t="s">
        <v>1</v>
      </c>
      <c r="G211" t="s">
        <v>32</v>
      </c>
      <c r="I211" t="s">
        <v>38</v>
      </c>
      <c r="J211" t="s">
        <v>41</v>
      </c>
      <c r="L211">
        <v>5151</v>
      </c>
      <c r="M211">
        <v>4</v>
      </c>
      <c r="N211">
        <v>1287.75</v>
      </c>
      <c r="O211">
        <v>51.51</v>
      </c>
      <c r="P211">
        <v>51.51</v>
      </c>
      <c r="Q211">
        <v>1202</v>
      </c>
      <c r="R211" t="s">
        <v>33</v>
      </c>
      <c r="S211">
        <v>826</v>
      </c>
      <c r="T211" t="s">
        <v>33</v>
      </c>
      <c r="U211">
        <v>539</v>
      </c>
      <c r="V211" t="s">
        <v>33</v>
      </c>
      <c r="W211">
        <v>1078.8699999999999</v>
      </c>
      <c r="X211" t="s">
        <v>33</v>
      </c>
      <c r="Y211">
        <v>89.78</v>
      </c>
      <c r="Z211" t="s">
        <v>33</v>
      </c>
      <c r="AA211">
        <v>612.30999999999995</v>
      </c>
      <c r="AB211" t="s">
        <v>33</v>
      </c>
      <c r="AC211">
        <v>74.13</v>
      </c>
      <c r="AD211" t="s">
        <v>33</v>
      </c>
    </row>
    <row r="212" spans="1:30" x14ac:dyDescent="0.2">
      <c r="A212" t="s">
        <v>30</v>
      </c>
      <c r="B212" t="s">
        <v>1</v>
      </c>
      <c r="C212" t="s">
        <v>2</v>
      </c>
      <c r="D212" t="s">
        <v>76</v>
      </c>
      <c r="E212" t="s">
        <v>151</v>
      </c>
      <c r="F212" t="s">
        <v>1</v>
      </c>
      <c r="G212" t="s">
        <v>32</v>
      </c>
      <c r="H212" t="s">
        <v>33</v>
      </c>
      <c r="I212" t="s">
        <v>34</v>
      </c>
      <c r="J212" t="s">
        <v>33</v>
      </c>
      <c r="K212" t="s">
        <v>33</v>
      </c>
      <c r="L212">
        <v>10000</v>
      </c>
      <c r="M212">
        <v>4</v>
      </c>
      <c r="N212">
        <v>2500</v>
      </c>
      <c r="O212">
        <v>100</v>
      </c>
      <c r="P212">
        <v>100</v>
      </c>
      <c r="Q212" t="s">
        <v>33</v>
      </c>
      <c r="R212" t="s">
        <v>33</v>
      </c>
      <c r="S212" t="s">
        <v>33</v>
      </c>
      <c r="T212" t="s">
        <v>33</v>
      </c>
      <c r="U212" t="s">
        <v>33</v>
      </c>
      <c r="V212" t="s">
        <v>33</v>
      </c>
      <c r="W212" t="s">
        <v>33</v>
      </c>
      <c r="X212" t="s">
        <v>33</v>
      </c>
      <c r="Y212" t="s">
        <v>33</v>
      </c>
      <c r="Z212" t="s">
        <v>33</v>
      </c>
      <c r="AA212" t="s">
        <v>33</v>
      </c>
      <c r="AB212" t="s">
        <v>33</v>
      </c>
      <c r="AC212" t="s">
        <v>33</v>
      </c>
      <c r="AD212" t="s">
        <v>33</v>
      </c>
    </row>
    <row r="213" spans="1:30" x14ac:dyDescent="0.2">
      <c r="A213" t="s">
        <v>30</v>
      </c>
      <c r="B213" t="s">
        <v>1</v>
      </c>
      <c r="C213" t="s">
        <v>2</v>
      </c>
      <c r="D213" t="s">
        <v>76</v>
      </c>
      <c r="E213" t="s">
        <v>151</v>
      </c>
      <c r="F213" t="s">
        <v>1</v>
      </c>
      <c r="G213" t="s">
        <v>32</v>
      </c>
      <c r="I213" t="s">
        <v>35</v>
      </c>
      <c r="J213" t="s">
        <v>36</v>
      </c>
      <c r="K213" t="s">
        <v>37</v>
      </c>
      <c r="L213">
        <v>10000</v>
      </c>
      <c r="M213">
        <v>4</v>
      </c>
      <c r="N213">
        <v>2500</v>
      </c>
      <c r="O213">
        <v>100</v>
      </c>
      <c r="P213">
        <v>100</v>
      </c>
      <c r="Q213">
        <v>348279</v>
      </c>
      <c r="R213">
        <v>96635</v>
      </c>
      <c r="S213">
        <v>352407</v>
      </c>
      <c r="T213">
        <v>92522</v>
      </c>
      <c r="U213">
        <v>297906</v>
      </c>
      <c r="V213">
        <v>91136</v>
      </c>
      <c r="W213">
        <v>82890.259999999995</v>
      </c>
      <c r="X213">
        <v>31778.17</v>
      </c>
      <c r="Y213">
        <v>23.8</v>
      </c>
      <c r="Z213">
        <v>32.880000000000003</v>
      </c>
      <c r="AA213">
        <v>101609.25</v>
      </c>
      <c r="AB213">
        <v>29647.55</v>
      </c>
      <c r="AC213">
        <v>28.83</v>
      </c>
      <c r="AD213">
        <v>32.04</v>
      </c>
    </row>
    <row r="214" spans="1:30" x14ac:dyDescent="0.2">
      <c r="A214" t="s">
        <v>30</v>
      </c>
      <c r="B214" t="s">
        <v>1</v>
      </c>
      <c r="C214" t="s">
        <v>2</v>
      </c>
      <c r="D214" t="s">
        <v>76</v>
      </c>
      <c r="E214" t="s">
        <v>151</v>
      </c>
      <c r="F214" t="s">
        <v>1</v>
      </c>
      <c r="G214" t="s">
        <v>32</v>
      </c>
      <c r="I214" t="s">
        <v>38</v>
      </c>
      <c r="J214" t="s">
        <v>36</v>
      </c>
      <c r="K214" t="s">
        <v>39</v>
      </c>
      <c r="L214">
        <v>5215</v>
      </c>
      <c r="M214">
        <v>4</v>
      </c>
      <c r="N214">
        <v>1303.75</v>
      </c>
      <c r="O214">
        <v>52.15</v>
      </c>
      <c r="P214">
        <v>52.15</v>
      </c>
      <c r="Q214">
        <v>350228</v>
      </c>
      <c r="R214">
        <v>90</v>
      </c>
      <c r="S214">
        <v>355343</v>
      </c>
      <c r="T214">
        <v>90</v>
      </c>
      <c r="U214">
        <v>261167</v>
      </c>
      <c r="V214">
        <v>89</v>
      </c>
      <c r="W214">
        <v>83218.37</v>
      </c>
      <c r="X214">
        <v>7.26</v>
      </c>
      <c r="Y214">
        <v>23.76</v>
      </c>
      <c r="Z214">
        <v>8.0399999999999991</v>
      </c>
      <c r="AA214">
        <v>102112.59</v>
      </c>
      <c r="AB214">
        <v>7.41</v>
      </c>
      <c r="AC214">
        <v>28.74</v>
      </c>
      <c r="AD214">
        <v>8.24</v>
      </c>
    </row>
    <row r="215" spans="1:30" x14ac:dyDescent="0.2">
      <c r="A215" t="s">
        <v>30</v>
      </c>
      <c r="B215" t="s">
        <v>1</v>
      </c>
      <c r="C215" t="s">
        <v>2</v>
      </c>
      <c r="D215" t="s">
        <v>76</v>
      </c>
      <c r="E215" t="s">
        <v>151</v>
      </c>
      <c r="F215" t="s">
        <v>1</v>
      </c>
      <c r="G215" t="s">
        <v>32</v>
      </c>
      <c r="I215" t="s">
        <v>35</v>
      </c>
      <c r="J215" t="s">
        <v>36</v>
      </c>
      <c r="K215" t="s">
        <v>39</v>
      </c>
      <c r="L215">
        <v>10000</v>
      </c>
      <c r="M215">
        <v>4</v>
      </c>
      <c r="N215">
        <v>2500</v>
      </c>
      <c r="O215">
        <v>100</v>
      </c>
      <c r="P215">
        <v>100</v>
      </c>
      <c r="Q215">
        <v>348279</v>
      </c>
      <c r="R215">
        <v>96</v>
      </c>
      <c r="S215">
        <v>352407</v>
      </c>
      <c r="T215">
        <v>97</v>
      </c>
      <c r="U215">
        <v>297906</v>
      </c>
      <c r="V215">
        <v>97</v>
      </c>
      <c r="W215">
        <v>82890.259999999995</v>
      </c>
      <c r="X215">
        <v>9.8000000000000007</v>
      </c>
      <c r="Y215">
        <v>23.8</v>
      </c>
      <c r="Z215">
        <v>10.16</v>
      </c>
      <c r="AA215">
        <v>101609.25</v>
      </c>
      <c r="AB215">
        <v>11.86</v>
      </c>
      <c r="AC215">
        <v>28.83</v>
      </c>
      <c r="AD215">
        <v>12.23</v>
      </c>
    </row>
    <row r="216" spans="1:30" x14ac:dyDescent="0.2">
      <c r="A216" t="s">
        <v>30</v>
      </c>
      <c r="B216" t="s">
        <v>1</v>
      </c>
      <c r="C216" t="s">
        <v>2</v>
      </c>
      <c r="D216" t="s">
        <v>76</v>
      </c>
      <c r="E216" t="s">
        <v>151</v>
      </c>
      <c r="F216" t="s">
        <v>1</v>
      </c>
      <c r="G216" t="s">
        <v>32</v>
      </c>
      <c r="I216" t="s">
        <v>38</v>
      </c>
      <c r="J216" t="s">
        <v>40</v>
      </c>
      <c r="L216">
        <v>5215</v>
      </c>
      <c r="M216">
        <v>4</v>
      </c>
      <c r="N216">
        <v>1303.75</v>
      </c>
      <c r="O216">
        <v>52.15</v>
      </c>
      <c r="P216">
        <v>52.15</v>
      </c>
      <c r="Q216">
        <v>177</v>
      </c>
      <c r="R216" t="s">
        <v>33</v>
      </c>
      <c r="S216">
        <v>165</v>
      </c>
      <c r="T216" t="s">
        <v>33</v>
      </c>
      <c r="U216">
        <v>157</v>
      </c>
      <c r="V216" t="s">
        <v>33</v>
      </c>
      <c r="W216">
        <v>74.66</v>
      </c>
      <c r="X216" t="s">
        <v>33</v>
      </c>
      <c r="Y216">
        <v>42.21</v>
      </c>
      <c r="Z216" t="s">
        <v>33</v>
      </c>
      <c r="AA216">
        <v>68.2</v>
      </c>
      <c r="AB216" t="s">
        <v>33</v>
      </c>
      <c r="AC216">
        <v>41.33</v>
      </c>
      <c r="AD216" t="s">
        <v>33</v>
      </c>
    </row>
    <row r="217" spans="1:30" x14ac:dyDescent="0.2">
      <c r="A217" t="s">
        <v>30</v>
      </c>
      <c r="B217" t="s">
        <v>1</v>
      </c>
      <c r="C217" t="s">
        <v>2</v>
      </c>
      <c r="D217" t="s">
        <v>76</v>
      </c>
      <c r="E217" t="s">
        <v>151</v>
      </c>
      <c r="F217" t="s">
        <v>1</v>
      </c>
      <c r="G217" t="s">
        <v>32</v>
      </c>
      <c r="I217" t="s">
        <v>38</v>
      </c>
      <c r="J217" t="s">
        <v>41</v>
      </c>
      <c r="L217">
        <v>5215</v>
      </c>
      <c r="M217">
        <v>4</v>
      </c>
      <c r="N217">
        <v>1303.75</v>
      </c>
      <c r="O217">
        <v>52.15</v>
      </c>
      <c r="P217">
        <v>52.15</v>
      </c>
      <c r="Q217">
        <v>75</v>
      </c>
      <c r="R217" t="s">
        <v>33</v>
      </c>
      <c r="S217">
        <v>69</v>
      </c>
      <c r="T217" t="s">
        <v>33</v>
      </c>
      <c r="U217">
        <v>87</v>
      </c>
      <c r="V217" t="s">
        <v>33</v>
      </c>
      <c r="W217">
        <v>49.69</v>
      </c>
      <c r="X217" t="s">
        <v>33</v>
      </c>
      <c r="Y217">
        <v>66.23</v>
      </c>
      <c r="Z217" t="s">
        <v>33</v>
      </c>
      <c r="AA217">
        <v>26.69</v>
      </c>
      <c r="AB217" t="s">
        <v>33</v>
      </c>
      <c r="AC217">
        <v>38.68</v>
      </c>
      <c r="AD217" t="s">
        <v>33</v>
      </c>
    </row>
    <row r="218" spans="1:30" x14ac:dyDescent="0.2">
      <c r="A218" t="s">
        <v>30</v>
      </c>
      <c r="B218" t="s">
        <v>1</v>
      </c>
      <c r="C218" t="s">
        <v>2</v>
      </c>
      <c r="D218" t="s">
        <v>77</v>
      </c>
      <c r="E218" t="s">
        <v>152</v>
      </c>
      <c r="F218" t="s">
        <v>1</v>
      </c>
      <c r="G218" t="s">
        <v>32</v>
      </c>
      <c r="H218" t="s">
        <v>33</v>
      </c>
      <c r="I218" t="s">
        <v>34</v>
      </c>
      <c r="J218" t="s">
        <v>33</v>
      </c>
      <c r="K218" t="s">
        <v>33</v>
      </c>
      <c r="L218">
        <v>10000</v>
      </c>
      <c r="M218">
        <v>31</v>
      </c>
      <c r="N218">
        <v>322.58100000000002</v>
      </c>
      <c r="O218">
        <v>100</v>
      </c>
      <c r="P218">
        <v>100</v>
      </c>
      <c r="Q218" t="s">
        <v>33</v>
      </c>
      <c r="R218" t="s">
        <v>33</v>
      </c>
      <c r="S218" t="s">
        <v>33</v>
      </c>
      <c r="T218" t="s">
        <v>33</v>
      </c>
      <c r="U218" t="s">
        <v>33</v>
      </c>
      <c r="V218" t="s">
        <v>33</v>
      </c>
      <c r="W218" t="s">
        <v>33</v>
      </c>
      <c r="X218" t="s">
        <v>33</v>
      </c>
      <c r="Y218" t="s">
        <v>33</v>
      </c>
      <c r="Z218" t="s">
        <v>33</v>
      </c>
      <c r="AA218" t="s">
        <v>33</v>
      </c>
      <c r="AB218" t="s">
        <v>33</v>
      </c>
      <c r="AC218" t="s">
        <v>33</v>
      </c>
      <c r="AD218" t="s">
        <v>33</v>
      </c>
    </row>
    <row r="219" spans="1:30" x14ac:dyDescent="0.2">
      <c r="A219" t="s">
        <v>30</v>
      </c>
      <c r="B219" t="s">
        <v>1</v>
      </c>
      <c r="C219" t="s">
        <v>2</v>
      </c>
      <c r="D219" t="s">
        <v>77</v>
      </c>
      <c r="E219" t="s">
        <v>152</v>
      </c>
      <c r="F219" t="s">
        <v>1</v>
      </c>
      <c r="G219" t="s">
        <v>32</v>
      </c>
      <c r="I219" t="s">
        <v>35</v>
      </c>
      <c r="J219" t="s">
        <v>36</v>
      </c>
      <c r="K219" t="s">
        <v>37</v>
      </c>
      <c r="L219">
        <v>10000</v>
      </c>
      <c r="M219">
        <v>31</v>
      </c>
      <c r="N219">
        <v>322.58100000000002</v>
      </c>
      <c r="O219">
        <v>100</v>
      </c>
      <c r="P219">
        <v>100</v>
      </c>
      <c r="Q219">
        <v>367859</v>
      </c>
      <c r="R219">
        <v>100791</v>
      </c>
      <c r="S219">
        <v>380991</v>
      </c>
      <c r="T219">
        <v>96888</v>
      </c>
      <c r="U219">
        <v>465999</v>
      </c>
      <c r="V219">
        <v>91062</v>
      </c>
      <c r="W219">
        <v>81051.02</v>
      </c>
      <c r="X219">
        <v>31404.799999999999</v>
      </c>
      <c r="Y219">
        <v>22.03</v>
      </c>
      <c r="Z219">
        <v>31.16</v>
      </c>
      <c r="AA219">
        <v>93620.26</v>
      </c>
      <c r="AB219">
        <v>29124.19</v>
      </c>
      <c r="AC219">
        <v>24.57</v>
      </c>
      <c r="AD219">
        <v>30.06</v>
      </c>
    </row>
    <row r="220" spans="1:30" x14ac:dyDescent="0.2">
      <c r="A220" t="s">
        <v>30</v>
      </c>
      <c r="B220" t="s">
        <v>1</v>
      </c>
      <c r="C220" t="s">
        <v>2</v>
      </c>
      <c r="D220" t="s">
        <v>77</v>
      </c>
      <c r="E220" t="s">
        <v>152</v>
      </c>
      <c r="F220" t="s">
        <v>1</v>
      </c>
      <c r="G220" t="s">
        <v>32</v>
      </c>
      <c r="I220" t="s">
        <v>38</v>
      </c>
      <c r="J220" t="s">
        <v>36</v>
      </c>
      <c r="K220" t="s">
        <v>39</v>
      </c>
      <c r="L220">
        <v>6076</v>
      </c>
      <c r="M220">
        <v>31</v>
      </c>
      <c r="N220">
        <v>196</v>
      </c>
      <c r="O220">
        <v>60.76</v>
      </c>
      <c r="P220">
        <v>60.76</v>
      </c>
      <c r="Q220">
        <v>365172</v>
      </c>
      <c r="R220">
        <v>94</v>
      </c>
      <c r="S220">
        <v>378111</v>
      </c>
      <c r="T220">
        <v>94</v>
      </c>
      <c r="U220">
        <v>408628</v>
      </c>
      <c r="V220">
        <v>93</v>
      </c>
      <c r="W220">
        <v>80595.460000000006</v>
      </c>
      <c r="X220">
        <v>6.98</v>
      </c>
      <c r="Y220">
        <v>22.07</v>
      </c>
      <c r="Z220">
        <v>7.46</v>
      </c>
      <c r="AA220">
        <v>91476.42</v>
      </c>
      <c r="AB220">
        <v>7.41</v>
      </c>
      <c r="AC220">
        <v>24.19</v>
      </c>
      <c r="AD220">
        <v>7.89</v>
      </c>
    </row>
    <row r="221" spans="1:30" x14ac:dyDescent="0.2">
      <c r="A221" t="s">
        <v>30</v>
      </c>
      <c r="B221" t="s">
        <v>1</v>
      </c>
      <c r="C221" t="s">
        <v>2</v>
      </c>
      <c r="D221" t="s">
        <v>77</v>
      </c>
      <c r="E221" t="s">
        <v>152</v>
      </c>
      <c r="F221" t="s">
        <v>1</v>
      </c>
      <c r="G221" t="s">
        <v>32</v>
      </c>
      <c r="I221" t="s">
        <v>35</v>
      </c>
      <c r="J221" t="s">
        <v>36</v>
      </c>
      <c r="K221" t="s">
        <v>39</v>
      </c>
      <c r="L221">
        <v>10000</v>
      </c>
      <c r="M221">
        <v>31</v>
      </c>
      <c r="N221">
        <v>322.58100000000002</v>
      </c>
      <c r="O221">
        <v>100</v>
      </c>
      <c r="P221">
        <v>100</v>
      </c>
      <c r="Q221">
        <v>367859</v>
      </c>
      <c r="R221">
        <v>98</v>
      </c>
      <c r="S221">
        <v>380991</v>
      </c>
      <c r="T221">
        <v>98</v>
      </c>
      <c r="U221">
        <v>465999</v>
      </c>
      <c r="V221">
        <v>99</v>
      </c>
      <c r="W221">
        <v>81051.02</v>
      </c>
      <c r="X221">
        <v>8.5500000000000007</v>
      </c>
      <c r="Y221">
        <v>22.03</v>
      </c>
      <c r="Z221">
        <v>8.74</v>
      </c>
      <c r="AA221">
        <v>93620.26</v>
      </c>
      <c r="AB221">
        <v>8.9</v>
      </c>
      <c r="AC221">
        <v>24.57</v>
      </c>
      <c r="AD221">
        <v>9.08</v>
      </c>
    </row>
    <row r="222" spans="1:30" x14ac:dyDescent="0.2">
      <c r="A222" t="s">
        <v>30</v>
      </c>
      <c r="B222" t="s">
        <v>1</v>
      </c>
      <c r="C222" t="s">
        <v>2</v>
      </c>
      <c r="D222" t="s">
        <v>77</v>
      </c>
      <c r="E222" t="s">
        <v>152</v>
      </c>
      <c r="F222" t="s">
        <v>1</v>
      </c>
      <c r="G222" t="s">
        <v>32</v>
      </c>
      <c r="I222" t="s">
        <v>38</v>
      </c>
      <c r="J222" t="s">
        <v>40</v>
      </c>
      <c r="L222">
        <v>6076</v>
      </c>
      <c r="M222">
        <v>31</v>
      </c>
      <c r="N222">
        <v>196</v>
      </c>
      <c r="O222">
        <v>60.76</v>
      </c>
      <c r="P222">
        <v>60.76</v>
      </c>
      <c r="Q222">
        <v>526</v>
      </c>
      <c r="R222" t="s">
        <v>33</v>
      </c>
      <c r="S222">
        <v>498</v>
      </c>
      <c r="T222" t="s">
        <v>33</v>
      </c>
      <c r="U222">
        <v>608</v>
      </c>
      <c r="V222" t="s">
        <v>33</v>
      </c>
      <c r="W222">
        <v>219.7</v>
      </c>
      <c r="X222" t="s">
        <v>33</v>
      </c>
      <c r="Y222">
        <v>41.75</v>
      </c>
      <c r="Z222" t="s">
        <v>33</v>
      </c>
      <c r="AA222">
        <v>192.74</v>
      </c>
      <c r="AB222" t="s">
        <v>33</v>
      </c>
      <c r="AC222">
        <v>38.700000000000003</v>
      </c>
      <c r="AD222" t="s">
        <v>33</v>
      </c>
    </row>
    <row r="223" spans="1:30" x14ac:dyDescent="0.2">
      <c r="A223" t="s">
        <v>30</v>
      </c>
      <c r="B223" t="s">
        <v>1</v>
      </c>
      <c r="C223" t="s">
        <v>2</v>
      </c>
      <c r="D223" t="s">
        <v>77</v>
      </c>
      <c r="E223" t="s">
        <v>152</v>
      </c>
      <c r="F223" t="s">
        <v>1</v>
      </c>
      <c r="G223" t="s">
        <v>32</v>
      </c>
      <c r="I223" t="s">
        <v>38</v>
      </c>
      <c r="J223" t="s">
        <v>41</v>
      </c>
      <c r="L223">
        <v>6076</v>
      </c>
      <c r="M223">
        <v>31</v>
      </c>
      <c r="N223">
        <v>196</v>
      </c>
      <c r="O223">
        <v>60.76</v>
      </c>
      <c r="P223">
        <v>60.76</v>
      </c>
      <c r="Q223">
        <v>20970</v>
      </c>
      <c r="R223" t="s">
        <v>33</v>
      </c>
      <c r="S223">
        <v>20314</v>
      </c>
      <c r="T223" t="s">
        <v>33</v>
      </c>
      <c r="U223">
        <v>21965</v>
      </c>
      <c r="V223" t="s">
        <v>33</v>
      </c>
      <c r="W223">
        <v>8235.75</v>
      </c>
      <c r="X223" t="s">
        <v>33</v>
      </c>
      <c r="Y223">
        <v>39.270000000000003</v>
      </c>
      <c r="Z223" t="s">
        <v>33</v>
      </c>
      <c r="AA223">
        <v>7355.18</v>
      </c>
      <c r="AB223" t="s">
        <v>33</v>
      </c>
      <c r="AC223">
        <v>36.21</v>
      </c>
      <c r="AD223" t="s">
        <v>33</v>
      </c>
    </row>
    <row r="224" spans="1:30" x14ac:dyDescent="0.2">
      <c r="A224" t="s">
        <v>30</v>
      </c>
      <c r="B224" t="s">
        <v>1</v>
      </c>
      <c r="C224" t="s">
        <v>2</v>
      </c>
      <c r="D224" t="s">
        <v>78</v>
      </c>
      <c r="E224" t="s">
        <v>154</v>
      </c>
      <c r="F224" t="s">
        <v>1</v>
      </c>
      <c r="G224" t="s">
        <v>32</v>
      </c>
      <c r="H224" t="s">
        <v>33</v>
      </c>
      <c r="I224" t="s">
        <v>34</v>
      </c>
      <c r="J224" t="s">
        <v>33</v>
      </c>
      <c r="K224" t="s">
        <v>33</v>
      </c>
      <c r="L224">
        <v>10000</v>
      </c>
      <c r="M224">
        <v>6</v>
      </c>
      <c r="N224">
        <v>1666.6669999999999</v>
      </c>
      <c r="O224">
        <v>100</v>
      </c>
      <c r="P224">
        <v>100</v>
      </c>
      <c r="Q224" t="s">
        <v>33</v>
      </c>
      <c r="R224" t="s">
        <v>33</v>
      </c>
      <c r="S224" t="s">
        <v>33</v>
      </c>
      <c r="T224" t="s">
        <v>33</v>
      </c>
      <c r="U224" t="s">
        <v>33</v>
      </c>
      <c r="V224" t="s">
        <v>33</v>
      </c>
      <c r="W224" t="s">
        <v>33</v>
      </c>
      <c r="X224" t="s">
        <v>33</v>
      </c>
      <c r="Y224" t="s">
        <v>33</v>
      </c>
      <c r="Z224" t="s">
        <v>33</v>
      </c>
      <c r="AA224" t="s">
        <v>33</v>
      </c>
      <c r="AB224" t="s">
        <v>33</v>
      </c>
      <c r="AC224" t="s">
        <v>33</v>
      </c>
      <c r="AD224" t="s">
        <v>33</v>
      </c>
    </row>
    <row r="225" spans="1:30" x14ac:dyDescent="0.2">
      <c r="A225" t="s">
        <v>30</v>
      </c>
      <c r="B225" t="s">
        <v>1</v>
      </c>
      <c r="C225" t="s">
        <v>2</v>
      </c>
      <c r="D225" t="s">
        <v>78</v>
      </c>
      <c r="E225" t="s">
        <v>154</v>
      </c>
      <c r="F225" t="s">
        <v>1</v>
      </c>
      <c r="G225" t="s">
        <v>32</v>
      </c>
      <c r="I225" t="s">
        <v>35</v>
      </c>
      <c r="J225" t="s">
        <v>36</v>
      </c>
      <c r="K225" t="s">
        <v>37</v>
      </c>
      <c r="L225">
        <v>10000</v>
      </c>
      <c r="M225">
        <v>6</v>
      </c>
      <c r="N225">
        <v>1666.6669999999999</v>
      </c>
      <c r="O225">
        <v>100</v>
      </c>
      <c r="P225">
        <v>100</v>
      </c>
      <c r="Q225">
        <v>328232</v>
      </c>
      <c r="R225">
        <v>90663</v>
      </c>
      <c r="S225">
        <v>325436</v>
      </c>
      <c r="T225">
        <v>85449</v>
      </c>
      <c r="U225">
        <v>320641</v>
      </c>
      <c r="V225">
        <v>66519</v>
      </c>
      <c r="W225">
        <v>84047.96</v>
      </c>
      <c r="X225">
        <v>31801.26</v>
      </c>
      <c r="Y225">
        <v>25.61</v>
      </c>
      <c r="Z225">
        <v>35.08</v>
      </c>
      <c r="AA225">
        <v>103705.64</v>
      </c>
      <c r="AB225">
        <v>30466.69</v>
      </c>
      <c r="AC225">
        <v>31.87</v>
      </c>
      <c r="AD225">
        <v>35.659999999999997</v>
      </c>
    </row>
    <row r="226" spans="1:30" x14ac:dyDescent="0.2">
      <c r="A226" t="s">
        <v>30</v>
      </c>
      <c r="B226" t="s">
        <v>1</v>
      </c>
      <c r="C226" t="s">
        <v>2</v>
      </c>
      <c r="D226" t="s">
        <v>78</v>
      </c>
      <c r="E226" t="s">
        <v>154</v>
      </c>
      <c r="F226" t="s">
        <v>1</v>
      </c>
      <c r="G226" t="s">
        <v>32</v>
      </c>
      <c r="I226" t="s">
        <v>38</v>
      </c>
      <c r="J226" t="s">
        <v>36</v>
      </c>
      <c r="K226" t="s">
        <v>39</v>
      </c>
      <c r="L226">
        <v>5222</v>
      </c>
      <c r="M226">
        <v>6</v>
      </c>
      <c r="N226">
        <v>870.33299999999997</v>
      </c>
      <c r="O226">
        <v>52.22</v>
      </c>
      <c r="P226">
        <v>52.22</v>
      </c>
      <c r="Q226">
        <v>331336</v>
      </c>
      <c r="R226">
        <v>90</v>
      </c>
      <c r="S226">
        <v>329972</v>
      </c>
      <c r="T226">
        <v>89</v>
      </c>
      <c r="U226">
        <v>248954</v>
      </c>
      <c r="V226">
        <v>84</v>
      </c>
      <c r="W226">
        <v>83970.15</v>
      </c>
      <c r="X226">
        <v>7.18</v>
      </c>
      <c r="Y226">
        <v>25.34</v>
      </c>
      <c r="Z226">
        <v>8.01</v>
      </c>
      <c r="AA226">
        <v>103682.66</v>
      </c>
      <c r="AB226">
        <v>7.41</v>
      </c>
      <c r="AC226">
        <v>31.42</v>
      </c>
      <c r="AD226">
        <v>8.33</v>
      </c>
    </row>
    <row r="227" spans="1:30" x14ac:dyDescent="0.2">
      <c r="A227" t="s">
        <v>30</v>
      </c>
      <c r="B227" t="s">
        <v>1</v>
      </c>
      <c r="C227" t="s">
        <v>2</v>
      </c>
      <c r="D227" t="s">
        <v>78</v>
      </c>
      <c r="E227" t="s">
        <v>154</v>
      </c>
      <c r="F227" t="s">
        <v>1</v>
      </c>
      <c r="G227" t="s">
        <v>32</v>
      </c>
      <c r="I227" t="s">
        <v>35</v>
      </c>
      <c r="J227" t="s">
        <v>36</v>
      </c>
      <c r="K227" t="s">
        <v>39</v>
      </c>
      <c r="L227">
        <v>10000</v>
      </c>
      <c r="M227">
        <v>6</v>
      </c>
      <c r="N227">
        <v>1666.6669999999999</v>
      </c>
      <c r="O227">
        <v>100</v>
      </c>
      <c r="P227">
        <v>100</v>
      </c>
      <c r="Q227">
        <v>328232</v>
      </c>
      <c r="R227">
        <v>96</v>
      </c>
      <c r="S227">
        <v>325436</v>
      </c>
      <c r="T227">
        <v>96</v>
      </c>
      <c r="U227">
        <v>320641</v>
      </c>
      <c r="V227">
        <v>96</v>
      </c>
      <c r="W227">
        <v>84047.96</v>
      </c>
      <c r="X227">
        <v>9.7100000000000009</v>
      </c>
      <c r="Y227">
        <v>25.61</v>
      </c>
      <c r="Z227">
        <v>10.16</v>
      </c>
      <c r="AA227">
        <v>103705.64</v>
      </c>
      <c r="AB227">
        <v>10.38</v>
      </c>
      <c r="AC227">
        <v>31.87</v>
      </c>
      <c r="AD227">
        <v>10.81</v>
      </c>
    </row>
    <row r="228" spans="1:30" x14ac:dyDescent="0.2">
      <c r="A228" t="s">
        <v>30</v>
      </c>
      <c r="B228" t="s">
        <v>1</v>
      </c>
      <c r="C228" t="s">
        <v>2</v>
      </c>
      <c r="D228" t="s">
        <v>78</v>
      </c>
      <c r="E228" t="s">
        <v>154</v>
      </c>
      <c r="F228" t="s">
        <v>1</v>
      </c>
      <c r="G228" t="s">
        <v>32</v>
      </c>
      <c r="I228" t="s">
        <v>38</v>
      </c>
      <c r="J228" t="s">
        <v>40</v>
      </c>
      <c r="L228">
        <v>5222</v>
      </c>
      <c r="M228">
        <v>6</v>
      </c>
      <c r="N228">
        <v>870.33299999999997</v>
      </c>
      <c r="O228">
        <v>52.22</v>
      </c>
      <c r="P228">
        <v>52.22</v>
      </c>
      <c r="Q228">
        <v>335</v>
      </c>
      <c r="R228" t="s">
        <v>33</v>
      </c>
      <c r="S228">
        <v>313</v>
      </c>
      <c r="T228" t="s">
        <v>33</v>
      </c>
      <c r="U228">
        <v>340</v>
      </c>
      <c r="V228" t="s">
        <v>33</v>
      </c>
      <c r="W228">
        <v>141.9</v>
      </c>
      <c r="X228" t="s">
        <v>33</v>
      </c>
      <c r="Y228">
        <v>42.41</v>
      </c>
      <c r="Z228" t="s">
        <v>33</v>
      </c>
      <c r="AA228">
        <v>131.94999999999999</v>
      </c>
      <c r="AB228" t="s">
        <v>33</v>
      </c>
      <c r="AC228">
        <v>42.16</v>
      </c>
      <c r="AD228" t="s">
        <v>33</v>
      </c>
    </row>
    <row r="229" spans="1:30" x14ac:dyDescent="0.2">
      <c r="A229" t="s">
        <v>30</v>
      </c>
      <c r="B229" t="s">
        <v>1</v>
      </c>
      <c r="C229" t="s">
        <v>2</v>
      </c>
      <c r="D229" t="s">
        <v>78</v>
      </c>
      <c r="E229" t="s">
        <v>154</v>
      </c>
      <c r="F229" t="s">
        <v>1</v>
      </c>
      <c r="G229" t="s">
        <v>32</v>
      </c>
      <c r="I229" t="s">
        <v>38</v>
      </c>
      <c r="J229" t="s">
        <v>41</v>
      </c>
      <c r="L229">
        <v>5222</v>
      </c>
      <c r="M229">
        <v>6</v>
      </c>
      <c r="N229">
        <v>870.33299999999997</v>
      </c>
      <c r="O229">
        <v>52.22</v>
      </c>
      <c r="P229">
        <v>52.22</v>
      </c>
      <c r="Q229">
        <v>681</v>
      </c>
      <c r="R229" t="s">
        <v>33</v>
      </c>
      <c r="S229">
        <v>596</v>
      </c>
      <c r="T229" t="s">
        <v>33</v>
      </c>
      <c r="U229">
        <v>633</v>
      </c>
      <c r="V229" t="s">
        <v>33</v>
      </c>
      <c r="W229">
        <v>415.34</v>
      </c>
      <c r="X229" t="s">
        <v>33</v>
      </c>
      <c r="Y229">
        <v>61.03</v>
      </c>
      <c r="Z229" t="s">
        <v>33</v>
      </c>
      <c r="AA229">
        <v>305.42</v>
      </c>
      <c r="AB229" t="s">
        <v>33</v>
      </c>
      <c r="AC229">
        <v>51.24</v>
      </c>
      <c r="AD229" t="s">
        <v>33</v>
      </c>
    </row>
    <row r="230" spans="1:30" x14ac:dyDescent="0.2">
      <c r="A230" t="s">
        <v>30</v>
      </c>
      <c r="B230" t="s">
        <v>1</v>
      </c>
      <c r="C230" t="s">
        <v>2</v>
      </c>
      <c r="D230" t="s">
        <v>79</v>
      </c>
      <c r="E230" t="s">
        <v>155</v>
      </c>
      <c r="F230" t="s">
        <v>1</v>
      </c>
      <c r="G230" t="s">
        <v>32</v>
      </c>
      <c r="H230" t="s">
        <v>33</v>
      </c>
      <c r="I230" t="s">
        <v>34</v>
      </c>
      <c r="J230" t="s">
        <v>33</v>
      </c>
      <c r="K230" t="s">
        <v>33</v>
      </c>
      <c r="L230">
        <v>10000</v>
      </c>
      <c r="M230">
        <v>12</v>
      </c>
      <c r="N230">
        <v>833.33299999999997</v>
      </c>
      <c r="O230">
        <v>100</v>
      </c>
      <c r="P230">
        <v>100</v>
      </c>
      <c r="Q230" t="s">
        <v>33</v>
      </c>
      <c r="R230" t="s">
        <v>33</v>
      </c>
      <c r="S230" t="s">
        <v>33</v>
      </c>
      <c r="T230" t="s">
        <v>33</v>
      </c>
      <c r="U230" t="s">
        <v>33</v>
      </c>
      <c r="V230" t="s">
        <v>33</v>
      </c>
      <c r="W230" t="s">
        <v>33</v>
      </c>
      <c r="X230" t="s">
        <v>33</v>
      </c>
      <c r="Y230" t="s">
        <v>33</v>
      </c>
      <c r="Z230" t="s">
        <v>33</v>
      </c>
      <c r="AA230" t="s">
        <v>33</v>
      </c>
      <c r="AB230" t="s">
        <v>33</v>
      </c>
      <c r="AC230" t="s">
        <v>33</v>
      </c>
      <c r="AD230" t="s">
        <v>33</v>
      </c>
    </row>
    <row r="231" spans="1:30" x14ac:dyDescent="0.2">
      <c r="A231" t="s">
        <v>30</v>
      </c>
      <c r="B231" t="s">
        <v>1</v>
      </c>
      <c r="C231" t="s">
        <v>2</v>
      </c>
      <c r="D231" t="s">
        <v>79</v>
      </c>
      <c r="E231" t="s">
        <v>155</v>
      </c>
      <c r="F231" t="s">
        <v>1</v>
      </c>
      <c r="G231" t="s">
        <v>32</v>
      </c>
      <c r="I231" t="s">
        <v>35</v>
      </c>
      <c r="J231" t="s">
        <v>36</v>
      </c>
      <c r="K231" t="s">
        <v>37</v>
      </c>
      <c r="L231">
        <v>10000</v>
      </c>
      <c r="M231">
        <v>12</v>
      </c>
      <c r="N231">
        <v>833.33299999999997</v>
      </c>
      <c r="O231">
        <v>100</v>
      </c>
      <c r="P231">
        <v>100</v>
      </c>
      <c r="Q231">
        <v>344141</v>
      </c>
      <c r="R231">
        <v>94816</v>
      </c>
      <c r="S231">
        <v>347215</v>
      </c>
      <c r="T231">
        <v>90142</v>
      </c>
      <c r="U231">
        <v>380076</v>
      </c>
      <c r="V231">
        <v>80924</v>
      </c>
      <c r="W231">
        <v>80225.62</v>
      </c>
      <c r="X231">
        <v>31556.799999999999</v>
      </c>
      <c r="Y231">
        <v>23.31</v>
      </c>
      <c r="Z231">
        <v>33.28</v>
      </c>
      <c r="AA231">
        <v>97610.68</v>
      </c>
      <c r="AB231">
        <v>29921.09</v>
      </c>
      <c r="AC231">
        <v>28.11</v>
      </c>
      <c r="AD231">
        <v>33.19</v>
      </c>
    </row>
    <row r="232" spans="1:30" x14ac:dyDescent="0.2">
      <c r="A232" t="s">
        <v>30</v>
      </c>
      <c r="B232" t="s">
        <v>1</v>
      </c>
      <c r="C232" t="s">
        <v>2</v>
      </c>
      <c r="D232" t="s">
        <v>79</v>
      </c>
      <c r="E232" t="s">
        <v>155</v>
      </c>
      <c r="F232" t="s">
        <v>1</v>
      </c>
      <c r="G232" t="s">
        <v>32</v>
      </c>
      <c r="I232" t="s">
        <v>38</v>
      </c>
      <c r="J232" t="s">
        <v>36</v>
      </c>
      <c r="K232" t="s">
        <v>39</v>
      </c>
      <c r="L232">
        <v>5976</v>
      </c>
      <c r="M232">
        <v>12</v>
      </c>
      <c r="N232">
        <v>498</v>
      </c>
      <c r="O232">
        <v>59.76</v>
      </c>
      <c r="P232">
        <v>59.76</v>
      </c>
      <c r="Q232">
        <v>339938</v>
      </c>
      <c r="R232">
        <v>92</v>
      </c>
      <c r="S232">
        <v>340409</v>
      </c>
      <c r="T232">
        <v>91</v>
      </c>
      <c r="U232">
        <v>281409</v>
      </c>
      <c r="V232">
        <v>88</v>
      </c>
      <c r="W232">
        <v>79552.23</v>
      </c>
      <c r="X232">
        <v>6.9</v>
      </c>
      <c r="Y232">
        <v>23.4</v>
      </c>
      <c r="Z232">
        <v>7.53</v>
      </c>
      <c r="AA232">
        <v>95243.7</v>
      </c>
      <c r="AB232">
        <v>7.41</v>
      </c>
      <c r="AC232">
        <v>27.98</v>
      </c>
      <c r="AD232">
        <v>8.15</v>
      </c>
    </row>
    <row r="233" spans="1:30" x14ac:dyDescent="0.2">
      <c r="A233" t="s">
        <v>30</v>
      </c>
      <c r="B233" t="s">
        <v>1</v>
      </c>
      <c r="C233" t="s">
        <v>2</v>
      </c>
      <c r="D233" t="s">
        <v>79</v>
      </c>
      <c r="E233" t="s">
        <v>155</v>
      </c>
      <c r="F233" t="s">
        <v>1</v>
      </c>
      <c r="G233" t="s">
        <v>32</v>
      </c>
      <c r="I233" t="s">
        <v>35</v>
      </c>
      <c r="J233" t="s">
        <v>36</v>
      </c>
      <c r="K233" t="s">
        <v>39</v>
      </c>
      <c r="L233">
        <v>10000</v>
      </c>
      <c r="M233">
        <v>12</v>
      </c>
      <c r="N233">
        <v>833.33299999999997</v>
      </c>
      <c r="O233">
        <v>100</v>
      </c>
      <c r="P233">
        <v>100</v>
      </c>
      <c r="Q233">
        <v>344141</v>
      </c>
      <c r="R233">
        <v>97</v>
      </c>
      <c r="S233">
        <v>347215</v>
      </c>
      <c r="T233">
        <v>97</v>
      </c>
      <c r="U233">
        <v>380076</v>
      </c>
      <c r="V233">
        <v>99</v>
      </c>
      <c r="W233">
        <v>80225.62</v>
      </c>
      <c r="X233">
        <v>9.1300000000000008</v>
      </c>
      <c r="Y233">
        <v>23.31</v>
      </c>
      <c r="Z233">
        <v>9.4499999999999993</v>
      </c>
      <c r="AA233">
        <v>97610.68</v>
      </c>
      <c r="AB233">
        <v>10.38</v>
      </c>
      <c r="AC233">
        <v>28.11</v>
      </c>
      <c r="AD233">
        <v>10.7</v>
      </c>
    </row>
    <row r="234" spans="1:30" x14ac:dyDescent="0.2">
      <c r="A234" t="s">
        <v>30</v>
      </c>
      <c r="B234" t="s">
        <v>1</v>
      </c>
      <c r="C234" t="s">
        <v>2</v>
      </c>
      <c r="D234" t="s">
        <v>79</v>
      </c>
      <c r="E234" t="s">
        <v>155</v>
      </c>
      <c r="F234" t="s">
        <v>1</v>
      </c>
      <c r="G234" t="s">
        <v>32</v>
      </c>
      <c r="I234" t="s">
        <v>38</v>
      </c>
      <c r="J234" t="s">
        <v>40</v>
      </c>
      <c r="L234">
        <v>5976</v>
      </c>
      <c r="M234">
        <v>12</v>
      </c>
      <c r="N234">
        <v>498</v>
      </c>
      <c r="O234">
        <v>59.76</v>
      </c>
      <c r="P234">
        <v>59.76</v>
      </c>
      <c r="Q234">
        <v>374</v>
      </c>
      <c r="R234" t="s">
        <v>33</v>
      </c>
      <c r="S234">
        <v>353</v>
      </c>
      <c r="T234" t="s">
        <v>33</v>
      </c>
      <c r="U234">
        <v>359</v>
      </c>
      <c r="V234" t="s">
        <v>33</v>
      </c>
      <c r="W234">
        <v>149.11000000000001</v>
      </c>
      <c r="X234" t="s">
        <v>33</v>
      </c>
      <c r="Y234">
        <v>39.89</v>
      </c>
      <c r="Z234" t="s">
        <v>33</v>
      </c>
      <c r="AA234">
        <v>142.33000000000001</v>
      </c>
      <c r="AB234" t="s">
        <v>33</v>
      </c>
      <c r="AC234">
        <v>40.32</v>
      </c>
      <c r="AD234" t="s">
        <v>33</v>
      </c>
    </row>
    <row r="235" spans="1:30" x14ac:dyDescent="0.2">
      <c r="A235" t="s">
        <v>30</v>
      </c>
      <c r="B235" t="s">
        <v>1</v>
      </c>
      <c r="C235" t="s">
        <v>2</v>
      </c>
      <c r="D235" t="s">
        <v>79</v>
      </c>
      <c r="E235" t="s">
        <v>155</v>
      </c>
      <c r="F235" t="s">
        <v>1</v>
      </c>
      <c r="G235" t="s">
        <v>32</v>
      </c>
      <c r="I235" t="s">
        <v>38</v>
      </c>
      <c r="J235" t="s">
        <v>41</v>
      </c>
      <c r="L235">
        <v>5976</v>
      </c>
      <c r="M235">
        <v>12</v>
      </c>
      <c r="N235">
        <v>498</v>
      </c>
      <c r="O235">
        <v>59.76</v>
      </c>
      <c r="P235">
        <v>59.76</v>
      </c>
      <c r="Q235">
        <v>580</v>
      </c>
      <c r="R235" t="s">
        <v>33</v>
      </c>
      <c r="S235">
        <v>516</v>
      </c>
      <c r="T235" t="s">
        <v>33</v>
      </c>
      <c r="U235">
        <v>524</v>
      </c>
      <c r="V235" t="s">
        <v>33</v>
      </c>
      <c r="W235">
        <v>337.61</v>
      </c>
      <c r="X235" t="s">
        <v>33</v>
      </c>
      <c r="Y235">
        <v>58.17</v>
      </c>
      <c r="Z235" t="s">
        <v>33</v>
      </c>
      <c r="AA235">
        <v>257.97000000000003</v>
      </c>
      <c r="AB235" t="s">
        <v>33</v>
      </c>
      <c r="AC235">
        <v>49.99</v>
      </c>
      <c r="AD235" t="s">
        <v>33</v>
      </c>
    </row>
    <row r="236" spans="1:30" x14ac:dyDescent="0.2">
      <c r="A236" t="s">
        <v>30</v>
      </c>
      <c r="B236" t="s">
        <v>1</v>
      </c>
      <c r="C236" t="s">
        <v>2</v>
      </c>
      <c r="D236" t="s">
        <v>80</v>
      </c>
      <c r="E236" t="s">
        <v>156</v>
      </c>
      <c r="F236" t="s">
        <v>1</v>
      </c>
      <c r="G236" t="s">
        <v>32</v>
      </c>
      <c r="H236" t="s">
        <v>33</v>
      </c>
      <c r="I236" t="s">
        <v>34</v>
      </c>
      <c r="J236" t="s">
        <v>33</v>
      </c>
      <c r="K236" t="s">
        <v>33</v>
      </c>
      <c r="L236">
        <v>10000</v>
      </c>
      <c r="M236">
        <v>4</v>
      </c>
      <c r="N236">
        <v>2500</v>
      </c>
      <c r="O236">
        <v>100</v>
      </c>
      <c r="P236">
        <v>100</v>
      </c>
      <c r="Q236" t="s">
        <v>33</v>
      </c>
      <c r="R236" t="s">
        <v>33</v>
      </c>
      <c r="S236" t="s">
        <v>33</v>
      </c>
      <c r="T236" t="s">
        <v>33</v>
      </c>
      <c r="U236" t="s">
        <v>33</v>
      </c>
      <c r="V236" t="s">
        <v>33</v>
      </c>
      <c r="W236" t="s">
        <v>33</v>
      </c>
      <c r="X236" t="s">
        <v>33</v>
      </c>
      <c r="Y236" t="s">
        <v>33</v>
      </c>
      <c r="Z236" t="s">
        <v>33</v>
      </c>
      <c r="AA236" t="s">
        <v>33</v>
      </c>
      <c r="AB236" t="s">
        <v>33</v>
      </c>
      <c r="AC236" t="s">
        <v>33</v>
      </c>
      <c r="AD236" t="s">
        <v>33</v>
      </c>
    </row>
    <row r="237" spans="1:30" x14ac:dyDescent="0.2">
      <c r="A237" t="s">
        <v>30</v>
      </c>
      <c r="B237" t="s">
        <v>1</v>
      </c>
      <c r="C237" t="s">
        <v>2</v>
      </c>
      <c r="D237" t="s">
        <v>80</v>
      </c>
      <c r="E237" t="s">
        <v>156</v>
      </c>
      <c r="F237" t="s">
        <v>1</v>
      </c>
      <c r="G237" t="s">
        <v>32</v>
      </c>
      <c r="I237" t="s">
        <v>35</v>
      </c>
      <c r="J237" t="s">
        <v>36</v>
      </c>
      <c r="K237" t="s">
        <v>37</v>
      </c>
      <c r="L237">
        <v>10000</v>
      </c>
      <c r="M237">
        <v>4</v>
      </c>
      <c r="N237">
        <v>2500</v>
      </c>
      <c r="O237">
        <v>100</v>
      </c>
      <c r="P237">
        <v>100</v>
      </c>
      <c r="Q237">
        <v>315495</v>
      </c>
      <c r="R237">
        <v>92860</v>
      </c>
      <c r="S237">
        <v>310564</v>
      </c>
      <c r="T237">
        <v>87022</v>
      </c>
      <c r="U237">
        <v>261038</v>
      </c>
      <c r="V237">
        <v>70746</v>
      </c>
      <c r="W237">
        <v>85900.77</v>
      </c>
      <c r="X237">
        <v>33891.75</v>
      </c>
      <c r="Y237">
        <v>27.23</v>
      </c>
      <c r="Z237">
        <v>36.5</v>
      </c>
      <c r="AA237">
        <v>101264.54</v>
      </c>
      <c r="AB237">
        <v>33064.199999999997</v>
      </c>
      <c r="AC237">
        <v>32.61</v>
      </c>
      <c r="AD237">
        <v>38</v>
      </c>
    </row>
    <row r="238" spans="1:30" x14ac:dyDescent="0.2">
      <c r="A238" t="s">
        <v>30</v>
      </c>
      <c r="B238" t="s">
        <v>1</v>
      </c>
      <c r="C238" t="s">
        <v>2</v>
      </c>
      <c r="D238" t="s">
        <v>80</v>
      </c>
      <c r="E238" t="s">
        <v>156</v>
      </c>
      <c r="F238" t="s">
        <v>1</v>
      </c>
      <c r="G238" t="s">
        <v>32</v>
      </c>
      <c r="I238" t="s">
        <v>38</v>
      </c>
      <c r="J238" t="s">
        <v>36</v>
      </c>
      <c r="K238" t="s">
        <v>39</v>
      </c>
      <c r="L238">
        <v>5168</v>
      </c>
      <c r="M238">
        <v>4</v>
      </c>
      <c r="N238">
        <v>1292</v>
      </c>
      <c r="O238">
        <v>51.68</v>
      </c>
      <c r="P238">
        <v>51.68</v>
      </c>
      <c r="Q238">
        <v>317620</v>
      </c>
      <c r="R238">
        <v>89</v>
      </c>
      <c r="S238">
        <v>312836</v>
      </c>
      <c r="T238">
        <v>88</v>
      </c>
      <c r="U238">
        <v>261116</v>
      </c>
      <c r="V238">
        <v>87</v>
      </c>
      <c r="W238">
        <v>84850.47</v>
      </c>
      <c r="X238">
        <v>7.22</v>
      </c>
      <c r="Y238">
        <v>26.71</v>
      </c>
      <c r="Z238">
        <v>8.1300000000000008</v>
      </c>
      <c r="AA238">
        <v>97589.92</v>
      </c>
      <c r="AB238">
        <v>7.41</v>
      </c>
      <c r="AC238">
        <v>31.2</v>
      </c>
      <c r="AD238">
        <v>8.42</v>
      </c>
    </row>
    <row r="239" spans="1:30" x14ac:dyDescent="0.2">
      <c r="A239" t="s">
        <v>30</v>
      </c>
      <c r="B239" t="s">
        <v>1</v>
      </c>
      <c r="C239" t="s">
        <v>2</v>
      </c>
      <c r="D239" t="s">
        <v>80</v>
      </c>
      <c r="E239" t="s">
        <v>156</v>
      </c>
      <c r="F239" t="s">
        <v>1</v>
      </c>
      <c r="G239" t="s">
        <v>32</v>
      </c>
      <c r="I239" t="s">
        <v>35</v>
      </c>
      <c r="J239" t="s">
        <v>36</v>
      </c>
      <c r="K239" t="s">
        <v>39</v>
      </c>
      <c r="L239">
        <v>10000</v>
      </c>
      <c r="M239">
        <v>4</v>
      </c>
      <c r="N239">
        <v>2500</v>
      </c>
      <c r="O239">
        <v>100</v>
      </c>
      <c r="P239">
        <v>100</v>
      </c>
      <c r="Q239">
        <v>315495</v>
      </c>
      <c r="R239">
        <v>95</v>
      </c>
      <c r="S239">
        <v>310564</v>
      </c>
      <c r="T239">
        <v>95</v>
      </c>
      <c r="U239">
        <v>261038</v>
      </c>
      <c r="V239">
        <v>94</v>
      </c>
      <c r="W239">
        <v>85900.77</v>
      </c>
      <c r="X239">
        <v>9.91</v>
      </c>
      <c r="Y239">
        <v>27.23</v>
      </c>
      <c r="Z239">
        <v>10.43</v>
      </c>
      <c r="AA239">
        <v>101264.54</v>
      </c>
      <c r="AB239">
        <v>11.12</v>
      </c>
      <c r="AC239">
        <v>32.61</v>
      </c>
      <c r="AD239">
        <v>11.7</v>
      </c>
    </row>
    <row r="240" spans="1:30" x14ac:dyDescent="0.2">
      <c r="A240" t="s">
        <v>30</v>
      </c>
      <c r="B240" t="s">
        <v>1</v>
      </c>
      <c r="C240" t="s">
        <v>2</v>
      </c>
      <c r="D240" t="s">
        <v>80</v>
      </c>
      <c r="E240" t="s">
        <v>156</v>
      </c>
      <c r="F240" t="s">
        <v>1</v>
      </c>
      <c r="G240" t="s">
        <v>32</v>
      </c>
      <c r="I240" t="s">
        <v>38</v>
      </c>
      <c r="J240" t="s">
        <v>40</v>
      </c>
      <c r="L240">
        <v>5168</v>
      </c>
      <c r="M240">
        <v>4</v>
      </c>
      <c r="N240">
        <v>1292</v>
      </c>
      <c r="O240">
        <v>51.68</v>
      </c>
      <c r="P240">
        <v>51.68</v>
      </c>
      <c r="Q240">
        <v>501</v>
      </c>
      <c r="R240" t="s">
        <v>33</v>
      </c>
      <c r="S240">
        <v>388</v>
      </c>
      <c r="T240" t="s">
        <v>33</v>
      </c>
      <c r="U240">
        <v>359</v>
      </c>
      <c r="V240" t="s">
        <v>33</v>
      </c>
      <c r="W240">
        <v>372.93</v>
      </c>
      <c r="X240" t="s">
        <v>33</v>
      </c>
      <c r="Y240">
        <v>74.48</v>
      </c>
      <c r="Z240" t="s">
        <v>33</v>
      </c>
      <c r="AA240">
        <v>228.32</v>
      </c>
      <c r="AB240" t="s">
        <v>33</v>
      </c>
      <c r="AC240">
        <v>58.85</v>
      </c>
      <c r="AD240" t="s">
        <v>33</v>
      </c>
    </row>
    <row r="241" spans="1:30" x14ac:dyDescent="0.2">
      <c r="A241" t="s">
        <v>30</v>
      </c>
      <c r="B241" t="s">
        <v>1</v>
      </c>
      <c r="C241" t="s">
        <v>2</v>
      </c>
      <c r="D241" t="s">
        <v>80</v>
      </c>
      <c r="E241" t="s">
        <v>156</v>
      </c>
      <c r="F241" t="s">
        <v>1</v>
      </c>
      <c r="G241" t="s">
        <v>32</v>
      </c>
      <c r="I241" t="s">
        <v>38</v>
      </c>
      <c r="J241" t="s">
        <v>41</v>
      </c>
      <c r="L241">
        <v>5168</v>
      </c>
      <c r="M241">
        <v>4</v>
      </c>
      <c r="N241">
        <v>1292</v>
      </c>
      <c r="O241">
        <v>51.68</v>
      </c>
      <c r="P241">
        <v>51.68</v>
      </c>
      <c r="Q241">
        <v>285</v>
      </c>
      <c r="R241" t="s">
        <v>33</v>
      </c>
      <c r="S241">
        <v>224</v>
      </c>
      <c r="T241" t="s">
        <v>33</v>
      </c>
      <c r="U241">
        <v>198</v>
      </c>
      <c r="V241" t="s">
        <v>33</v>
      </c>
      <c r="W241">
        <v>215.44</v>
      </c>
      <c r="X241" t="s">
        <v>33</v>
      </c>
      <c r="Y241">
        <v>75.56</v>
      </c>
      <c r="Z241" t="s">
        <v>33</v>
      </c>
      <c r="AA241">
        <v>140.85</v>
      </c>
      <c r="AB241" t="s">
        <v>33</v>
      </c>
      <c r="AC241">
        <v>62.88</v>
      </c>
      <c r="AD241" t="s">
        <v>33</v>
      </c>
    </row>
    <row r="242" spans="1:30" x14ac:dyDescent="0.2">
      <c r="A242" t="s">
        <v>30</v>
      </c>
      <c r="B242" t="s">
        <v>1</v>
      </c>
      <c r="C242" t="s">
        <v>2</v>
      </c>
      <c r="D242" t="s">
        <v>81</v>
      </c>
      <c r="E242" t="s">
        <v>157</v>
      </c>
      <c r="F242" t="s">
        <v>1</v>
      </c>
      <c r="G242" t="s">
        <v>32</v>
      </c>
      <c r="H242" t="s">
        <v>33</v>
      </c>
      <c r="I242" t="s">
        <v>34</v>
      </c>
      <c r="J242" t="s">
        <v>33</v>
      </c>
      <c r="K242" t="s">
        <v>33</v>
      </c>
      <c r="L242">
        <v>10000</v>
      </c>
      <c r="M242">
        <v>3</v>
      </c>
      <c r="N242">
        <v>3333.3330000000001</v>
      </c>
      <c r="O242">
        <v>100</v>
      </c>
      <c r="P242">
        <v>100</v>
      </c>
      <c r="Q242" t="s">
        <v>33</v>
      </c>
      <c r="R242" t="s">
        <v>33</v>
      </c>
      <c r="S242" t="s">
        <v>33</v>
      </c>
      <c r="T242" t="s">
        <v>33</v>
      </c>
      <c r="U242" t="s">
        <v>33</v>
      </c>
      <c r="V242" t="s">
        <v>33</v>
      </c>
      <c r="W242" t="s">
        <v>33</v>
      </c>
      <c r="X242" t="s">
        <v>33</v>
      </c>
      <c r="Y242" t="s">
        <v>33</v>
      </c>
      <c r="Z242" t="s">
        <v>33</v>
      </c>
      <c r="AA242" t="s">
        <v>33</v>
      </c>
      <c r="AB242" t="s">
        <v>33</v>
      </c>
      <c r="AC242" t="s">
        <v>33</v>
      </c>
      <c r="AD242" t="s">
        <v>33</v>
      </c>
    </row>
    <row r="243" spans="1:30" x14ac:dyDescent="0.2">
      <c r="A243" t="s">
        <v>30</v>
      </c>
      <c r="B243" t="s">
        <v>1</v>
      </c>
      <c r="C243" t="s">
        <v>2</v>
      </c>
      <c r="D243" t="s">
        <v>81</v>
      </c>
      <c r="E243" t="s">
        <v>157</v>
      </c>
      <c r="F243" t="s">
        <v>1</v>
      </c>
      <c r="G243" t="s">
        <v>32</v>
      </c>
      <c r="I243" t="s">
        <v>35</v>
      </c>
      <c r="J243" t="s">
        <v>36</v>
      </c>
      <c r="K243" t="s">
        <v>37</v>
      </c>
      <c r="L243">
        <v>10000</v>
      </c>
      <c r="M243">
        <v>3</v>
      </c>
      <c r="N243">
        <v>3333.3330000000001</v>
      </c>
      <c r="O243">
        <v>100</v>
      </c>
      <c r="P243">
        <v>100</v>
      </c>
      <c r="Q243">
        <v>348346</v>
      </c>
      <c r="R243">
        <v>95909</v>
      </c>
      <c r="S243">
        <v>357985</v>
      </c>
      <c r="T243">
        <v>92301</v>
      </c>
      <c r="U243">
        <v>416806</v>
      </c>
      <c r="V243">
        <v>93126</v>
      </c>
      <c r="W243">
        <v>86247.13</v>
      </c>
      <c r="X243">
        <v>31355.95</v>
      </c>
      <c r="Y243">
        <v>24.76</v>
      </c>
      <c r="Z243">
        <v>32.69</v>
      </c>
      <c r="AA243">
        <v>102983.62</v>
      </c>
      <c r="AB243">
        <v>30164.98</v>
      </c>
      <c r="AC243">
        <v>28.77</v>
      </c>
      <c r="AD243">
        <v>32.68</v>
      </c>
    </row>
    <row r="244" spans="1:30" x14ac:dyDescent="0.2">
      <c r="A244" t="s">
        <v>30</v>
      </c>
      <c r="B244" t="s">
        <v>1</v>
      </c>
      <c r="C244" t="s">
        <v>2</v>
      </c>
      <c r="D244" t="s">
        <v>81</v>
      </c>
      <c r="E244" t="s">
        <v>157</v>
      </c>
      <c r="F244" t="s">
        <v>1</v>
      </c>
      <c r="G244" t="s">
        <v>32</v>
      </c>
      <c r="I244" t="s">
        <v>38</v>
      </c>
      <c r="J244" t="s">
        <v>36</v>
      </c>
      <c r="K244" t="s">
        <v>39</v>
      </c>
      <c r="L244">
        <v>5411</v>
      </c>
      <c r="M244">
        <v>3</v>
      </c>
      <c r="N244">
        <v>1803.6669999999999</v>
      </c>
      <c r="O244">
        <v>54.11</v>
      </c>
      <c r="P244">
        <v>54.11</v>
      </c>
      <c r="Q244">
        <v>352495</v>
      </c>
      <c r="R244">
        <v>91</v>
      </c>
      <c r="S244">
        <v>363649</v>
      </c>
      <c r="T244">
        <v>90</v>
      </c>
      <c r="U244">
        <v>371720</v>
      </c>
      <c r="V244">
        <v>89</v>
      </c>
      <c r="W244">
        <v>84958.35</v>
      </c>
      <c r="X244">
        <v>7.37</v>
      </c>
      <c r="Y244">
        <v>24.1</v>
      </c>
      <c r="Z244">
        <v>8.14</v>
      </c>
      <c r="AA244">
        <v>99612.93</v>
      </c>
      <c r="AB244">
        <v>7.41</v>
      </c>
      <c r="AC244">
        <v>27.39</v>
      </c>
      <c r="AD244">
        <v>8.24</v>
      </c>
    </row>
    <row r="245" spans="1:30" x14ac:dyDescent="0.2">
      <c r="A245" t="s">
        <v>30</v>
      </c>
      <c r="B245" t="s">
        <v>1</v>
      </c>
      <c r="C245" t="s">
        <v>2</v>
      </c>
      <c r="D245" t="s">
        <v>81</v>
      </c>
      <c r="E245" t="s">
        <v>157</v>
      </c>
      <c r="F245" t="s">
        <v>1</v>
      </c>
      <c r="G245" t="s">
        <v>32</v>
      </c>
      <c r="I245" t="s">
        <v>35</v>
      </c>
      <c r="J245" t="s">
        <v>36</v>
      </c>
      <c r="K245" t="s">
        <v>39</v>
      </c>
      <c r="L245">
        <v>10000</v>
      </c>
      <c r="M245">
        <v>3</v>
      </c>
      <c r="N245">
        <v>3333.3330000000001</v>
      </c>
      <c r="O245">
        <v>100</v>
      </c>
      <c r="P245">
        <v>100</v>
      </c>
      <c r="Q245">
        <v>348346</v>
      </c>
      <c r="R245">
        <v>96</v>
      </c>
      <c r="S245">
        <v>357985</v>
      </c>
      <c r="T245">
        <v>96</v>
      </c>
      <c r="U245">
        <v>416806</v>
      </c>
      <c r="V245">
        <v>95</v>
      </c>
      <c r="W245">
        <v>86247.13</v>
      </c>
      <c r="X245">
        <v>9.8800000000000008</v>
      </c>
      <c r="Y245">
        <v>24.76</v>
      </c>
      <c r="Z245">
        <v>10.26</v>
      </c>
      <c r="AA245">
        <v>102983.62</v>
      </c>
      <c r="AB245">
        <v>10.38</v>
      </c>
      <c r="AC245">
        <v>28.77</v>
      </c>
      <c r="AD245">
        <v>10.81</v>
      </c>
    </row>
    <row r="246" spans="1:30" x14ac:dyDescent="0.2">
      <c r="A246" t="s">
        <v>30</v>
      </c>
      <c r="B246" t="s">
        <v>1</v>
      </c>
      <c r="C246" t="s">
        <v>2</v>
      </c>
      <c r="D246" t="s">
        <v>81</v>
      </c>
      <c r="E246" t="s">
        <v>157</v>
      </c>
      <c r="F246" t="s">
        <v>1</v>
      </c>
      <c r="G246" t="s">
        <v>32</v>
      </c>
      <c r="I246" t="s">
        <v>38</v>
      </c>
      <c r="J246" t="s">
        <v>40</v>
      </c>
      <c r="L246">
        <v>5411</v>
      </c>
      <c r="M246">
        <v>3</v>
      </c>
      <c r="N246">
        <v>1803.6669999999999</v>
      </c>
      <c r="O246">
        <v>54.11</v>
      </c>
      <c r="P246">
        <v>54.11</v>
      </c>
      <c r="Q246">
        <v>413</v>
      </c>
      <c r="R246" t="s">
        <v>33</v>
      </c>
      <c r="S246">
        <v>390</v>
      </c>
      <c r="T246" t="s">
        <v>33</v>
      </c>
      <c r="U246">
        <v>368</v>
      </c>
      <c r="V246" t="s">
        <v>33</v>
      </c>
      <c r="W246">
        <v>168.2</v>
      </c>
      <c r="X246" t="s">
        <v>33</v>
      </c>
      <c r="Y246">
        <v>40.74</v>
      </c>
      <c r="Z246" t="s">
        <v>33</v>
      </c>
      <c r="AA246">
        <v>151.22999999999999</v>
      </c>
      <c r="AB246" t="s">
        <v>33</v>
      </c>
      <c r="AC246">
        <v>38.78</v>
      </c>
      <c r="AD246" t="s">
        <v>33</v>
      </c>
    </row>
    <row r="247" spans="1:30" x14ac:dyDescent="0.2">
      <c r="A247" t="s">
        <v>30</v>
      </c>
      <c r="B247" t="s">
        <v>1</v>
      </c>
      <c r="C247" t="s">
        <v>2</v>
      </c>
      <c r="D247" t="s">
        <v>81</v>
      </c>
      <c r="E247" t="s">
        <v>157</v>
      </c>
      <c r="F247" t="s">
        <v>1</v>
      </c>
      <c r="G247" t="s">
        <v>32</v>
      </c>
      <c r="I247" t="s">
        <v>38</v>
      </c>
      <c r="J247" t="s">
        <v>41</v>
      </c>
      <c r="L247">
        <v>5411</v>
      </c>
      <c r="M247">
        <v>3</v>
      </c>
      <c r="N247">
        <v>1803.6669999999999</v>
      </c>
      <c r="O247">
        <v>54.11</v>
      </c>
      <c r="P247">
        <v>54.11</v>
      </c>
      <c r="Q247">
        <v>14191</v>
      </c>
      <c r="R247" t="s">
        <v>33</v>
      </c>
      <c r="S247">
        <v>13217</v>
      </c>
      <c r="T247" t="s">
        <v>33</v>
      </c>
      <c r="U247">
        <v>12446</v>
      </c>
      <c r="V247" t="s">
        <v>33</v>
      </c>
      <c r="W247">
        <v>5773.65</v>
      </c>
      <c r="X247" t="s">
        <v>33</v>
      </c>
      <c r="Y247">
        <v>40.68</v>
      </c>
      <c r="Z247" t="s">
        <v>33</v>
      </c>
      <c r="AA247">
        <v>5137.21</v>
      </c>
      <c r="AB247" t="s">
        <v>33</v>
      </c>
      <c r="AC247">
        <v>38.869999999999997</v>
      </c>
      <c r="AD247" t="s">
        <v>33</v>
      </c>
    </row>
    <row r="248" spans="1:30" x14ac:dyDescent="0.2">
      <c r="A248" t="s">
        <v>30</v>
      </c>
      <c r="B248" t="s">
        <v>1</v>
      </c>
      <c r="C248" t="s">
        <v>2</v>
      </c>
      <c r="D248" t="s">
        <v>82</v>
      </c>
      <c r="E248" t="s">
        <v>158</v>
      </c>
      <c r="F248" t="s">
        <v>1</v>
      </c>
      <c r="G248" t="s">
        <v>32</v>
      </c>
      <c r="H248" t="s">
        <v>33</v>
      </c>
      <c r="I248" t="s">
        <v>34</v>
      </c>
      <c r="J248" t="s">
        <v>33</v>
      </c>
      <c r="K248" t="s">
        <v>33</v>
      </c>
      <c r="L248">
        <v>10000</v>
      </c>
      <c r="M248">
        <v>8</v>
      </c>
      <c r="N248">
        <v>1250</v>
      </c>
      <c r="O248">
        <v>100</v>
      </c>
      <c r="P248">
        <v>100</v>
      </c>
      <c r="Q248" t="s">
        <v>33</v>
      </c>
      <c r="R248" t="s">
        <v>33</v>
      </c>
      <c r="S248" t="s">
        <v>33</v>
      </c>
      <c r="T248" t="s">
        <v>33</v>
      </c>
      <c r="U248" t="s">
        <v>33</v>
      </c>
      <c r="V248" t="s">
        <v>33</v>
      </c>
      <c r="W248" t="s">
        <v>33</v>
      </c>
      <c r="X248" t="s">
        <v>33</v>
      </c>
      <c r="Y248" t="s">
        <v>33</v>
      </c>
      <c r="Z248" t="s">
        <v>33</v>
      </c>
      <c r="AA248" t="s">
        <v>33</v>
      </c>
      <c r="AB248" t="s">
        <v>33</v>
      </c>
      <c r="AC248" t="s">
        <v>33</v>
      </c>
      <c r="AD248" t="s">
        <v>33</v>
      </c>
    </row>
    <row r="249" spans="1:30" x14ac:dyDescent="0.2">
      <c r="A249" t="s">
        <v>30</v>
      </c>
      <c r="B249" t="s">
        <v>1</v>
      </c>
      <c r="C249" t="s">
        <v>2</v>
      </c>
      <c r="D249" t="s">
        <v>82</v>
      </c>
      <c r="E249" t="s">
        <v>158</v>
      </c>
      <c r="F249" t="s">
        <v>1</v>
      </c>
      <c r="G249" t="s">
        <v>32</v>
      </c>
      <c r="I249" t="s">
        <v>35</v>
      </c>
      <c r="J249" t="s">
        <v>36</v>
      </c>
      <c r="K249" t="s">
        <v>37</v>
      </c>
      <c r="L249">
        <v>10000</v>
      </c>
      <c r="M249">
        <v>8</v>
      </c>
      <c r="N249">
        <v>1250</v>
      </c>
      <c r="O249">
        <v>100</v>
      </c>
      <c r="P249">
        <v>100</v>
      </c>
      <c r="Q249">
        <v>338247</v>
      </c>
      <c r="R249">
        <v>94208</v>
      </c>
      <c r="S249">
        <v>339721</v>
      </c>
      <c r="T249">
        <v>90405</v>
      </c>
      <c r="U249">
        <v>367514</v>
      </c>
      <c r="V249">
        <v>78750</v>
      </c>
      <c r="W249">
        <v>79822.87</v>
      </c>
      <c r="X249">
        <v>30814.68</v>
      </c>
      <c r="Y249">
        <v>23.6</v>
      </c>
      <c r="Z249">
        <v>32.71</v>
      </c>
      <c r="AA249">
        <v>94813.75</v>
      </c>
      <c r="AB249">
        <v>30716.51</v>
      </c>
      <c r="AC249">
        <v>27.91</v>
      </c>
      <c r="AD249">
        <v>33.979999999999997</v>
      </c>
    </row>
    <row r="250" spans="1:30" x14ac:dyDescent="0.2">
      <c r="A250" t="s">
        <v>30</v>
      </c>
      <c r="B250" t="s">
        <v>1</v>
      </c>
      <c r="C250" t="s">
        <v>2</v>
      </c>
      <c r="D250" t="s">
        <v>82</v>
      </c>
      <c r="E250" t="s">
        <v>158</v>
      </c>
      <c r="F250" t="s">
        <v>1</v>
      </c>
      <c r="G250" t="s">
        <v>32</v>
      </c>
      <c r="I250" t="s">
        <v>38</v>
      </c>
      <c r="J250" t="s">
        <v>36</v>
      </c>
      <c r="K250" t="s">
        <v>39</v>
      </c>
      <c r="L250">
        <v>6030</v>
      </c>
      <c r="M250">
        <v>8</v>
      </c>
      <c r="N250">
        <v>753.75</v>
      </c>
      <c r="O250">
        <v>60.3</v>
      </c>
      <c r="P250">
        <v>60.3</v>
      </c>
      <c r="Q250">
        <v>335350</v>
      </c>
      <c r="R250">
        <v>91</v>
      </c>
      <c r="S250">
        <v>334485</v>
      </c>
      <c r="T250">
        <v>91</v>
      </c>
      <c r="U250">
        <v>328961</v>
      </c>
      <c r="V250">
        <v>89</v>
      </c>
      <c r="W250">
        <v>79717.45</v>
      </c>
      <c r="X250">
        <v>6.85</v>
      </c>
      <c r="Y250">
        <v>23.77</v>
      </c>
      <c r="Z250">
        <v>7.5</v>
      </c>
      <c r="AA250">
        <v>92825.58</v>
      </c>
      <c r="AB250">
        <v>7.41</v>
      </c>
      <c r="AC250">
        <v>27.75</v>
      </c>
      <c r="AD250">
        <v>8.15</v>
      </c>
    </row>
    <row r="251" spans="1:30" x14ac:dyDescent="0.2">
      <c r="A251" t="s">
        <v>30</v>
      </c>
      <c r="B251" t="s">
        <v>1</v>
      </c>
      <c r="C251" t="s">
        <v>2</v>
      </c>
      <c r="D251" t="s">
        <v>82</v>
      </c>
      <c r="E251" t="s">
        <v>158</v>
      </c>
      <c r="F251" t="s">
        <v>1</v>
      </c>
      <c r="G251" t="s">
        <v>32</v>
      </c>
      <c r="I251" t="s">
        <v>35</v>
      </c>
      <c r="J251" t="s">
        <v>36</v>
      </c>
      <c r="K251" t="s">
        <v>39</v>
      </c>
      <c r="L251">
        <v>10000</v>
      </c>
      <c r="M251">
        <v>8</v>
      </c>
      <c r="N251">
        <v>1250</v>
      </c>
      <c r="O251">
        <v>100</v>
      </c>
      <c r="P251">
        <v>100</v>
      </c>
      <c r="Q251">
        <v>338247</v>
      </c>
      <c r="R251">
        <v>96</v>
      </c>
      <c r="S251">
        <v>339721</v>
      </c>
      <c r="T251">
        <v>96</v>
      </c>
      <c r="U251">
        <v>367514</v>
      </c>
      <c r="V251">
        <v>95</v>
      </c>
      <c r="W251">
        <v>79822.87</v>
      </c>
      <c r="X251">
        <v>9.2200000000000006</v>
      </c>
      <c r="Y251">
        <v>23.6</v>
      </c>
      <c r="Z251">
        <v>9.57</v>
      </c>
      <c r="AA251">
        <v>94813.75</v>
      </c>
      <c r="AB251">
        <v>10.38</v>
      </c>
      <c r="AC251">
        <v>27.91</v>
      </c>
      <c r="AD251">
        <v>10.81</v>
      </c>
    </row>
    <row r="252" spans="1:30" x14ac:dyDescent="0.2">
      <c r="A252" t="s">
        <v>30</v>
      </c>
      <c r="B252" t="s">
        <v>1</v>
      </c>
      <c r="C252" t="s">
        <v>2</v>
      </c>
      <c r="D252" t="s">
        <v>82</v>
      </c>
      <c r="E252" t="s">
        <v>158</v>
      </c>
      <c r="F252" t="s">
        <v>1</v>
      </c>
      <c r="G252" t="s">
        <v>32</v>
      </c>
      <c r="I252" t="s">
        <v>38</v>
      </c>
      <c r="J252" t="s">
        <v>40</v>
      </c>
      <c r="L252">
        <v>6030</v>
      </c>
      <c r="M252">
        <v>8</v>
      </c>
      <c r="N252">
        <v>753.75</v>
      </c>
      <c r="O252">
        <v>60.3</v>
      </c>
      <c r="P252">
        <v>60.3</v>
      </c>
      <c r="Q252">
        <v>180</v>
      </c>
      <c r="R252" t="s">
        <v>33</v>
      </c>
      <c r="S252">
        <v>167</v>
      </c>
      <c r="T252" t="s">
        <v>33</v>
      </c>
      <c r="U252">
        <v>157</v>
      </c>
      <c r="V252" t="s">
        <v>33</v>
      </c>
      <c r="W252">
        <v>77.61</v>
      </c>
      <c r="X252" t="s">
        <v>33</v>
      </c>
      <c r="Y252">
        <v>43.21</v>
      </c>
      <c r="Z252" t="s">
        <v>33</v>
      </c>
      <c r="AA252">
        <v>69.680000000000007</v>
      </c>
      <c r="AB252" t="s">
        <v>33</v>
      </c>
      <c r="AC252">
        <v>41.73</v>
      </c>
      <c r="AD252" t="s">
        <v>33</v>
      </c>
    </row>
    <row r="253" spans="1:30" x14ac:dyDescent="0.2">
      <c r="A253" t="s">
        <v>30</v>
      </c>
      <c r="B253" t="s">
        <v>1</v>
      </c>
      <c r="C253" t="s">
        <v>2</v>
      </c>
      <c r="D253" t="s">
        <v>82</v>
      </c>
      <c r="E253" t="s">
        <v>158</v>
      </c>
      <c r="F253" t="s">
        <v>1</v>
      </c>
      <c r="G253" t="s">
        <v>32</v>
      </c>
      <c r="I253" t="s">
        <v>38</v>
      </c>
      <c r="J253" t="s">
        <v>41</v>
      </c>
      <c r="L253">
        <v>6030</v>
      </c>
      <c r="M253">
        <v>8</v>
      </c>
      <c r="N253">
        <v>753.75</v>
      </c>
      <c r="O253">
        <v>60.3</v>
      </c>
      <c r="P253">
        <v>60.3</v>
      </c>
      <c r="Q253">
        <v>562</v>
      </c>
      <c r="R253" t="s">
        <v>33</v>
      </c>
      <c r="S253">
        <v>451</v>
      </c>
      <c r="T253" t="s">
        <v>33</v>
      </c>
      <c r="U253">
        <v>470</v>
      </c>
      <c r="V253" t="s">
        <v>33</v>
      </c>
      <c r="W253">
        <v>948.8</v>
      </c>
      <c r="X253" t="s">
        <v>33</v>
      </c>
      <c r="Y253">
        <v>168.92</v>
      </c>
      <c r="Z253" t="s">
        <v>33</v>
      </c>
      <c r="AA253">
        <v>243.15</v>
      </c>
      <c r="AB253" t="s">
        <v>33</v>
      </c>
      <c r="AC253">
        <v>53.91</v>
      </c>
      <c r="AD253" t="s">
        <v>33</v>
      </c>
    </row>
    <row r="254" spans="1:30" x14ac:dyDescent="0.2">
      <c r="A254" t="s">
        <v>30</v>
      </c>
      <c r="B254" t="s">
        <v>1</v>
      </c>
      <c r="C254" t="s">
        <v>2</v>
      </c>
      <c r="D254" t="s">
        <v>83</v>
      </c>
      <c r="E254" t="s">
        <v>159</v>
      </c>
      <c r="F254" t="s">
        <v>1</v>
      </c>
      <c r="G254" t="s">
        <v>32</v>
      </c>
      <c r="H254" t="s">
        <v>33</v>
      </c>
      <c r="I254" t="s">
        <v>34</v>
      </c>
      <c r="J254" t="s">
        <v>33</v>
      </c>
      <c r="K254" t="s">
        <v>33</v>
      </c>
      <c r="L254">
        <v>10000</v>
      </c>
      <c r="M254">
        <v>3</v>
      </c>
      <c r="N254">
        <v>3333.3330000000001</v>
      </c>
      <c r="O254">
        <v>100</v>
      </c>
      <c r="P254">
        <v>100</v>
      </c>
      <c r="Q254" t="s">
        <v>33</v>
      </c>
      <c r="R254" t="s">
        <v>33</v>
      </c>
      <c r="S254" t="s">
        <v>33</v>
      </c>
      <c r="T254" t="s">
        <v>33</v>
      </c>
      <c r="U254" t="s">
        <v>33</v>
      </c>
      <c r="V254" t="s">
        <v>33</v>
      </c>
      <c r="W254" t="s">
        <v>33</v>
      </c>
      <c r="X254" t="s">
        <v>33</v>
      </c>
      <c r="Y254" t="s">
        <v>33</v>
      </c>
      <c r="Z254" t="s">
        <v>33</v>
      </c>
      <c r="AA254" t="s">
        <v>33</v>
      </c>
      <c r="AB254" t="s">
        <v>33</v>
      </c>
      <c r="AC254" t="s">
        <v>33</v>
      </c>
      <c r="AD254" t="s">
        <v>33</v>
      </c>
    </row>
    <row r="255" spans="1:30" x14ac:dyDescent="0.2">
      <c r="A255" t="s">
        <v>30</v>
      </c>
      <c r="B255" t="s">
        <v>1</v>
      </c>
      <c r="C255" t="s">
        <v>2</v>
      </c>
      <c r="D255" t="s">
        <v>83</v>
      </c>
      <c r="E255" t="s">
        <v>159</v>
      </c>
      <c r="F255" t="s">
        <v>1</v>
      </c>
      <c r="G255" t="s">
        <v>32</v>
      </c>
      <c r="I255" t="s">
        <v>35</v>
      </c>
      <c r="J255" t="s">
        <v>36</v>
      </c>
      <c r="K255" t="s">
        <v>37</v>
      </c>
      <c r="L255">
        <v>10000</v>
      </c>
      <c r="M255">
        <v>3</v>
      </c>
      <c r="N255">
        <v>3333.3330000000001</v>
      </c>
      <c r="O255">
        <v>100</v>
      </c>
      <c r="P255">
        <v>100</v>
      </c>
      <c r="Q255">
        <v>324240</v>
      </c>
      <c r="R255">
        <v>90783</v>
      </c>
      <c r="S255">
        <v>321126</v>
      </c>
      <c r="T255">
        <v>86177</v>
      </c>
      <c r="U255">
        <v>277441</v>
      </c>
      <c r="V255">
        <v>89082</v>
      </c>
      <c r="W255">
        <v>79171.509999999995</v>
      </c>
      <c r="X255">
        <v>31248.18</v>
      </c>
      <c r="Y255">
        <v>24.42</v>
      </c>
      <c r="Z255">
        <v>34.42</v>
      </c>
      <c r="AA255">
        <v>92734.399999999994</v>
      </c>
      <c r="AB255">
        <v>29915.9</v>
      </c>
      <c r="AC255">
        <v>28.88</v>
      </c>
      <c r="AD255">
        <v>34.71</v>
      </c>
    </row>
    <row r="256" spans="1:30" x14ac:dyDescent="0.2">
      <c r="A256" t="s">
        <v>30</v>
      </c>
      <c r="B256" t="s">
        <v>1</v>
      </c>
      <c r="C256" t="s">
        <v>2</v>
      </c>
      <c r="D256" t="s">
        <v>83</v>
      </c>
      <c r="E256" t="s">
        <v>159</v>
      </c>
      <c r="F256" t="s">
        <v>1</v>
      </c>
      <c r="G256" t="s">
        <v>32</v>
      </c>
      <c r="I256" t="s">
        <v>38</v>
      </c>
      <c r="J256" t="s">
        <v>36</v>
      </c>
      <c r="K256" t="s">
        <v>39</v>
      </c>
      <c r="L256">
        <v>5136</v>
      </c>
      <c r="M256">
        <v>3</v>
      </c>
      <c r="N256">
        <v>1712</v>
      </c>
      <c r="O256">
        <v>51.36</v>
      </c>
      <c r="P256">
        <v>51.36</v>
      </c>
      <c r="Q256">
        <v>325765</v>
      </c>
      <c r="R256">
        <v>89</v>
      </c>
      <c r="S256">
        <v>323253</v>
      </c>
      <c r="T256">
        <v>89</v>
      </c>
      <c r="U256">
        <v>277496</v>
      </c>
      <c r="V256">
        <v>85</v>
      </c>
      <c r="W256">
        <v>78932.850000000006</v>
      </c>
      <c r="X256">
        <v>7.01</v>
      </c>
      <c r="Y256">
        <v>24.23</v>
      </c>
      <c r="Z256">
        <v>7.86</v>
      </c>
      <c r="AA256">
        <v>91700.29</v>
      </c>
      <c r="AB256">
        <v>7.41</v>
      </c>
      <c r="AC256">
        <v>28.37</v>
      </c>
      <c r="AD256">
        <v>8.33</v>
      </c>
    </row>
    <row r="257" spans="1:30" x14ac:dyDescent="0.2">
      <c r="A257" t="s">
        <v>30</v>
      </c>
      <c r="B257" t="s">
        <v>1</v>
      </c>
      <c r="C257" t="s">
        <v>2</v>
      </c>
      <c r="D257" t="s">
        <v>83</v>
      </c>
      <c r="E257" t="s">
        <v>159</v>
      </c>
      <c r="F257" t="s">
        <v>1</v>
      </c>
      <c r="G257" t="s">
        <v>32</v>
      </c>
      <c r="I257" t="s">
        <v>35</v>
      </c>
      <c r="J257" t="s">
        <v>36</v>
      </c>
      <c r="K257" t="s">
        <v>39</v>
      </c>
      <c r="L257">
        <v>10000</v>
      </c>
      <c r="M257">
        <v>3</v>
      </c>
      <c r="N257">
        <v>3333.3330000000001</v>
      </c>
      <c r="O257">
        <v>100</v>
      </c>
      <c r="P257">
        <v>100</v>
      </c>
      <c r="Q257">
        <v>324240</v>
      </c>
      <c r="R257">
        <v>96</v>
      </c>
      <c r="S257">
        <v>321126</v>
      </c>
      <c r="T257">
        <v>96</v>
      </c>
      <c r="U257">
        <v>277441</v>
      </c>
      <c r="V257">
        <v>97</v>
      </c>
      <c r="W257">
        <v>79171.509999999995</v>
      </c>
      <c r="X257">
        <v>9.85</v>
      </c>
      <c r="Y257">
        <v>24.42</v>
      </c>
      <c r="Z257">
        <v>10.3</v>
      </c>
      <c r="AA257">
        <v>92734.399999999994</v>
      </c>
      <c r="AB257">
        <v>10.38</v>
      </c>
      <c r="AC257">
        <v>28.88</v>
      </c>
      <c r="AD257">
        <v>10.81</v>
      </c>
    </row>
    <row r="258" spans="1:30" x14ac:dyDescent="0.2">
      <c r="A258" t="s">
        <v>30</v>
      </c>
      <c r="B258" t="s">
        <v>1</v>
      </c>
      <c r="C258" t="s">
        <v>2</v>
      </c>
      <c r="D258" t="s">
        <v>83</v>
      </c>
      <c r="E258" t="s">
        <v>159</v>
      </c>
      <c r="F258" t="s">
        <v>1</v>
      </c>
      <c r="G258" t="s">
        <v>32</v>
      </c>
      <c r="I258" t="s">
        <v>38</v>
      </c>
      <c r="J258" t="s">
        <v>40</v>
      </c>
      <c r="L258">
        <v>5136</v>
      </c>
      <c r="M258">
        <v>3</v>
      </c>
      <c r="N258">
        <v>1712</v>
      </c>
      <c r="O258">
        <v>51.36</v>
      </c>
      <c r="P258">
        <v>51.36</v>
      </c>
      <c r="Q258">
        <v>166</v>
      </c>
      <c r="R258" t="s">
        <v>33</v>
      </c>
      <c r="S258">
        <v>154</v>
      </c>
      <c r="T258" t="s">
        <v>33</v>
      </c>
      <c r="U258">
        <v>157</v>
      </c>
      <c r="V258" t="s">
        <v>33</v>
      </c>
      <c r="W258">
        <v>70.989999999999995</v>
      </c>
      <c r="X258" t="s">
        <v>33</v>
      </c>
      <c r="Y258">
        <v>42.86</v>
      </c>
      <c r="Z258" t="s">
        <v>33</v>
      </c>
      <c r="AA258">
        <v>63.75</v>
      </c>
      <c r="AB258" t="s">
        <v>33</v>
      </c>
      <c r="AC258">
        <v>41.4</v>
      </c>
      <c r="AD258" t="s">
        <v>33</v>
      </c>
    </row>
    <row r="259" spans="1:30" x14ac:dyDescent="0.2">
      <c r="A259" t="s">
        <v>30</v>
      </c>
      <c r="B259" t="s">
        <v>1</v>
      </c>
      <c r="C259" t="s">
        <v>2</v>
      </c>
      <c r="D259" t="s">
        <v>83</v>
      </c>
      <c r="E259" t="s">
        <v>159</v>
      </c>
      <c r="F259" t="s">
        <v>1</v>
      </c>
      <c r="G259" t="s">
        <v>32</v>
      </c>
      <c r="I259" t="s">
        <v>38</v>
      </c>
      <c r="J259" t="s">
        <v>41</v>
      </c>
      <c r="L259">
        <v>5136</v>
      </c>
      <c r="M259">
        <v>3</v>
      </c>
      <c r="N259">
        <v>1712</v>
      </c>
      <c r="O259">
        <v>51.36</v>
      </c>
      <c r="P259">
        <v>51.36</v>
      </c>
      <c r="Q259">
        <v>346</v>
      </c>
      <c r="R259" t="s">
        <v>33</v>
      </c>
      <c r="S259">
        <v>288</v>
      </c>
      <c r="T259" t="s">
        <v>33</v>
      </c>
      <c r="U259">
        <v>322</v>
      </c>
      <c r="V259" t="s">
        <v>33</v>
      </c>
      <c r="W259">
        <v>450.99</v>
      </c>
      <c r="X259" t="s">
        <v>33</v>
      </c>
      <c r="Y259">
        <v>130.29</v>
      </c>
      <c r="Z259" t="s">
        <v>33</v>
      </c>
      <c r="AA259">
        <v>158.63999999999999</v>
      </c>
      <c r="AB259" t="s">
        <v>33</v>
      </c>
      <c r="AC259">
        <v>55.08</v>
      </c>
      <c r="AD259" t="s">
        <v>33</v>
      </c>
    </row>
    <row r="260" spans="1:30" x14ac:dyDescent="0.2">
      <c r="A260" t="s">
        <v>30</v>
      </c>
      <c r="B260" t="s">
        <v>1</v>
      </c>
      <c r="C260" t="s">
        <v>2</v>
      </c>
      <c r="D260" t="s">
        <v>84</v>
      </c>
      <c r="E260" t="s">
        <v>160</v>
      </c>
      <c r="F260" t="s">
        <v>1</v>
      </c>
      <c r="G260" t="s">
        <v>32</v>
      </c>
      <c r="H260" t="s">
        <v>33</v>
      </c>
      <c r="I260" t="s">
        <v>34</v>
      </c>
      <c r="J260" t="s">
        <v>33</v>
      </c>
      <c r="K260" t="s">
        <v>33</v>
      </c>
      <c r="L260">
        <v>10000</v>
      </c>
      <c r="M260">
        <v>6</v>
      </c>
      <c r="N260">
        <v>1666.6669999999999</v>
      </c>
      <c r="O260">
        <v>100</v>
      </c>
      <c r="P260">
        <v>100</v>
      </c>
      <c r="Q260" t="s">
        <v>33</v>
      </c>
      <c r="R260" t="s">
        <v>33</v>
      </c>
      <c r="S260" t="s">
        <v>33</v>
      </c>
      <c r="T260" t="s">
        <v>33</v>
      </c>
      <c r="U260" t="s">
        <v>33</v>
      </c>
      <c r="V260" t="s">
        <v>33</v>
      </c>
      <c r="W260" t="s">
        <v>33</v>
      </c>
      <c r="X260" t="s">
        <v>33</v>
      </c>
      <c r="Y260" t="s">
        <v>33</v>
      </c>
      <c r="Z260" t="s">
        <v>33</v>
      </c>
      <c r="AA260" t="s">
        <v>33</v>
      </c>
      <c r="AB260" t="s">
        <v>33</v>
      </c>
      <c r="AC260" t="s">
        <v>33</v>
      </c>
      <c r="AD260" t="s">
        <v>33</v>
      </c>
    </row>
    <row r="261" spans="1:30" x14ac:dyDescent="0.2">
      <c r="A261" t="s">
        <v>30</v>
      </c>
      <c r="B261" t="s">
        <v>1</v>
      </c>
      <c r="C261" t="s">
        <v>2</v>
      </c>
      <c r="D261" t="s">
        <v>84</v>
      </c>
      <c r="E261" t="s">
        <v>160</v>
      </c>
      <c r="F261" t="s">
        <v>1</v>
      </c>
      <c r="G261" t="s">
        <v>32</v>
      </c>
      <c r="I261" t="s">
        <v>35</v>
      </c>
      <c r="J261" t="s">
        <v>36</v>
      </c>
      <c r="K261" t="s">
        <v>37</v>
      </c>
      <c r="L261">
        <v>10000</v>
      </c>
      <c r="M261">
        <v>6</v>
      </c>
      <c r="N261">
        <v>1666.6669999999999</v>
      </c>
      <c r="O261">
        <v>100</v>
      </c>
      <c r="P261">
        <v>100</v>
      </c>
      <c r="Q261">
        <v>338060</v>
      </c>
      <c r="R261">
        <v>95215</v>
      </c>
      <c r="S261">
        <v>338931</v>
      </c>
      <c r="T261">
        <v>90771</v>
      </c>
      <c r="U261">
        <v>281664</v>
      </c>
      <c r="V261">
        <v>78785</v>
      </c>
      <c r="W261">
        <v>79542.350000000006</v>
      </c>
      <c r="X261">
        <v>31470.74</v>
      </c>
      <c r="Y261">
        <v>23.53</v>
      </c>
      <c r="Z261">
        <v>33.049999999999997</v>
      </c>
      <c r="AA261">
        <v>94182.9</v>
      </c>
      <c r="AB261">
        <v>31012.28</v>
      </c>
      <c r="AC261">
        <v>27.79</v>
      </c>
      <c r="AD261">
        <v>34.17</v>
      </c>
    </row>
    <row r="262" spans="1:30" x14ac:dyDescent="0.2">
      <c r="A262" t="s">
        <v>30</v>
      </c>
      <c r="B262" t="s">
        <v>1</v>
      </c>
      <c r="C262" t="s">
        <v>2</v>
      </c>
      <c r="D262" t="s">
        <v>84</v>
      </c>
      <c r="E262" t="s">
        <v>160</v>
      </c>
      <c r="F262" t="s">
        <v>1</v>
      </c>
      <c r="G262" t="s">
        <v>32</v>
      </c>
      <c r="I262" t="s">
        <v>38</v>
      </c>
      <c r="J262" t="s">
        <v>36</v>
      </c>
      <c r="K262" t="s">
        <v>39</v>
      </c>
      <c r="L262">
        <v>5303</v>
      </c>
      <c r="M262">
        <v>6</v>
      </c>
      <c r="N262">
        <v>883.83299999999997</v>
      </c>
      <c r="O262">
        <v>53.03</v>
      </c>
      <c r="P262">
        <v>53.03</v>
      </c>
      <c r="Q262">
        <v>341767</v>
      </c>
      <c r="R262">
        <v>91</v>
      </c>
      <c r="S262">
        <v>343292</v>
      </c>
      <c r="T262">
        <v>90</v>
      </c>
      <c r="U262">
        <v>304217</v>
      </c>
      <c r="V262">
        <v>88</v>
      </c>
      <c r="W262">
        <v>79268.210000000006</v>
      </c>
      <c r="X262">
        <v>6.92</v>
      </c>
      <c r="Y262">
        <v>23.19</v>
      </c>
      <c r="Z262">
        <v>7.62</v>
      </c>
      <c r="AA262">
        <v>92266.64</v>
      </c>
      <c r="AB262">
        <v>7.41</v>
      </c>
      <c r="AC262">
        <v>26.88</v>
      </c>
      <c r="AD262">
        <v>8.24</v>
      </c>
    </row>
    <row r="263" spans="1:30" x14ac:dyDescent="0.2">
      <c r="A263" t="s">
        <v>30</v>
      </c>
      <c r="B263" t="s">
        <v>1</v>
      </c>
      <c r="C263" t="s">
        <v>2</v>
      </c>
      <c r="D263" t="s">
        <v>84</v>
      </c>
      <c r="E263" t="s">
        <v>160</v>
      </c>
      <c r="F263" t="s">
        <v>1</v>
      </c>
      <c r="G263" t="s">
        <v>32</v>
      </c>
      <c r="I263" t="s">
        <v>35</v>
      </c>
      <c r="J263" t="s">
        <v>36</v>
      </c>
      <c r="K263" t="s">
        <v>39</v>
      </c>
      <c r="L263">
        <v>10000</v>
      </c>
      <c r="M263">
        <v>6</v>
      </c>
      <c r="N263">
        <v>1666.6669999999999</v>
      </c>
      <c r="O263">
        <v>100</v>
      </c>
      <c r="P263">
        <v>100</v>
      </c>
      <c r="Q263">
        <v>338060</v>
      </c>
      <c r="R263">
        <v>96</v>
      </c>
      <c r="S263">
        <v>338931</v>
      </c>
      <c r="T263">
        <v>96</v>
      </c>
      <c r="U263">
        <v>281664</v>
      </c>
      <c r="V263">
        <v>98</v>
      </c>
      <c r="W263">
        <v>79542.350000000006</v>
      </c>
      <c r="X263">
        <v>9.25</v>
      </c>
      <c r="Y263">
        <v>23.53</v>
      </c>
      <c r="Z263">
        <v>9.6</v>
      </c>
      <c r="AA263">
        <v>94182.9</v>
      </c>
      <c r="AB263">
        <v>10.38</v>
      </c>
      <c r="AC263">
        <v>27.79</v>
      </c>
      <c r="AD263">
        <v>10.81</v>
      </c>
    </row>
    <row r="264" spans="1:30" x14ac:dyDescent="0.2">
      <c r="A264" t="s">
        <v>30</v>
      </c>
      <c r="B264" t="s">
        <v>1</v>
      </c>
      <c r="C264" t="s">
        <v>2</v>
      </c>
      <c r="D264" t="s">
        <v>84</v>
      </c>
      <c r="E264" t="s">
        <v>160</v>
      </c>
      <c r="F264" t="s">
        <v>1</v>
      </c>
      <c r="G264" t="s">
        <v>32</v>
      </c>
      <c r="I264" t="s">
        <v>38</v>
      </c>
      <c r="J264" t="s">
        <v>40</v>
      </c>
      <c r="L264">
        <v>5303</v>
      </c>
      <c r="M264">
        <v>6</v>
      </c>
      <c r="N264">
        <v>883.83299999999997</v>
      </c>
      <c r="O264">
        <v>53.03</v>
      </c>
      <c r="P264">
        <v>53.03</v>
      </c>
      <c r="Q264">
        <v>180</v>
      </c>
      <c r="R264" t="s">
        <v>33</v>
      </c>
      <c r="S264">
        <v>167</v>
      </c>
      <c r="T264" t="s">
        <v>33</v>
      </c>
      <c r="U264">
        <v>157</v>
      </c>
      <c r="V264" t="s">
        <v>33</v>
      </c>
      <c r="W264">
        <v>77.489999999999995</v>
      </c>
      <c r="X264" t="s">
        <v>33</v>
      </c>
      <c r="Y264">
        <v>43.15</v>
      </c>
      <c r="Z264" t="s">
        <v>33</v>
      </c>
      <c r="AA264">
        <v>71.16</v>
      </c>
      <c r="AB264" t="s">
        <v>33</v>
      </c>
      <c r="AC264">
        <v>42.61</v>
      </c>
      <c r="AD264" t="s">
        <v>33</v>
      </c>
    </row>
    <row r="265" spans="1:30" x14ac:dyDescent="0.2">
      <c r="A265" t="s">
        <v>30</v>
      </c>
      <c r="B265" t="s">
        <v>1</v>
      </c>
      <c r="C265" t="s">
        <v>2</v>
      </c>
      <c r="D265" t="s">
        <v>84</v>
      </c>
      <c r="E265" t="s">
        <v>160</v>
      </c>
      <c r="F265" t="s">
        <v>1</v>
      </c>
      <c r="G265" t="s">
        <v>32</v>
      </c>
      <c r="I265" t="s">
        <v>38</v>
      </c>
      <c r="J265" t="s">
        <v>41</v>
      </c>
      <c r="L265">
        <v>5303</v>
      </c>
      <c r="M265">
        <v>6</v>
      </c>
      <c r="N265">
        <v>883.83299999999997</v>
      </c>
      <c r="O265">
        <v>53.03</v>
      </c>
      <c r="P265">
        <v>53.03</v>
      </c>
      <c r="Q265">
        <v>503</v>
      </c>
      <c r="R265" t="s">
        <v>33</v>
      </c>
      <c r="S265">
        <v>438</v>
      </c>
      <c r="T265" t="s">
        <v>33</v>
      </c>
      <c r="U265">
        <v>417</v>
      </c>
      <c r="V265" t="s">
        <v>33</v>
      </c>
      <c r="W265">
        <v>311.8</v>
      </c>
      <c r="X265" t="s">
        <v>33</v>
      </c>
      <c r="Y265">
        <v>61.99</v>
      </c>
      <c r="Z265" t="s">
        <v>33</v>
      </c>
      <c r="AA265">
        <v>243.15</v>
      </c>
      <c r="AB265" t="s">
        <v>33</v>
      </c>
      <c r="AC265">
        <v>55.51</v>
      </c>
      <c r="AD265" t="s">
        <v>33</v>
      </c>
    </row>
    <row r="266" spans="1:30" x14ac:dyDescent="0.2">
      <c r="A266" t="s">
        <v>30</v>
      </c>
      <c r="B266" t="s">
        <v>1</v>
      </c>
      <c r="C266" t="s">
        <v>2</v>
      </c>
      <c r="D266" t="s">
        <v>85</v>
      </c>
      <c r="E266" t="s">
        <v>161</v>
      </c>
      <c r="F266" t="s">
        <v>1</v>
      </c>
      <c r="G266" t="s">
        <v>32</v>
      </c>
      <c r="H266" t="s">
        <v>33</v>
      </c>
      <c r="I266" t="s">
        <v>34</v>
      </c>
      <c r="J266" t="s">
        <v>33</v>
      </c>
      <c r="K266" t="s">
        <v>33</v>
      </c>
      <c r="L266">
        <v>10000</v>
      </c>
      <c r="M266">
        <v>9</v>
      </c>
      <c r="N266">
        <v>1111.1110000000001</v>
      </c>
      <c r="O266">
        <v>100</v>
      </c>
      <c r="P266">
        <v>100</v>
      </c>
      <c r="Q266" t="s">
        <v>33</v>
      </c>
      <c r="R266" t="s">
        <v>33</v>
      </c>
      <c r="S266" t="s">
        <v>33</v>
      </c>
      <c r="T266" t="s">
        <v>33</v>
      </c>
      <c r="U266" t="s">
        <v>33</v>
      </c>
      <c r="V266" t="s">
        <v>33</v>
      </c>
      <c r="W266" t="s">
        <v>33</v>
      </c>
      <c r="X266" t="s">
        <v>33</v>
      </c>
      <c r="Y266" t="s">
        <v>33</v>
      </c>
      <c r="Z266" t="s">
        <v>33</v>
      </c>
      <c r="AA266" t="s">
        <v>33</v>
      </c>
      <c r="AB266" t="s">
        <v>33</v>
      </c>
      <c r="AC266" t="s">
        <v>33</v>
      </c>
      <c r="AD266" t="s">
        <v>33</v>
      </c>
    </row>
    <row r="267" spans="1:30" x14ac:dyDescent="0.2">
      <c r="A267" t="s">
        <v>30</v>
      </c>
      <c r="B267" t="s">
        <v>1</v>
      </c>
      <c r="C267" t="s">
        <v>2</v>
      </c>
      <c r="D267" t="s">
        <v>85</v>
      </c>
      <c r="E267" t="s">
        <v>161</v>
      </c>
      <c r="F267" t="s">
        <v>1</v>
      </c>
      <c r="G267" t="s">
        <v>32</v>
      </c>
      <c r="I267" t="s">
        <v>35</v>
      </c>
      <c r="J267" t="s">
        <v>36</v>
      </c>
      <c r="K267" t="s">
        <v>37</v>
      </c>
      <c r="L267">
        <v>10000</v>
      </c>
      <c r="M267">
        <v>9</v>
      </c>
      <c r="N267">
        <v>1111.1110000000001</v>
      </c>
      <c r="O267">
        <v>100</v>
      </c>
      <c r="P267">
        <v>100</v>
      </c>
      <c r="Q267">
        <v>353717</v>
      </c>
      <c r="R267">
        <v>96887</v>
      </c>
      <c r="S267">
        <v>361084</v>
      </c>
      <c r="T267">
        <v>92847</v>
      </c>
      <c r="U267">
        <v>449549</v>
      </c>
      <c r="V267">
        <v>86956</v>
      </c>
      <c r="W267">
        <v>83557.149999999994</v>
      </c>
      <c r="X267">
        <v>30641.439999999999</v>
      </c>
      <c r="Y267">
        <v>23.62</v>
      </c>
      <c r="Z267">
        <v>31.63</v>
      </c>
      <c r="AA267">
        <v>100935.41</v>
      </c>
      <c r="AB267">
        <v>28775.040000000001</v>
      </c>
      <c r="AC267">
        <v>27.95</v>
      </c>
      <c r="AD267">
        <v>30.99</v>
      </c>
    </row>
    <row r="268" spans="1:30" x14ac:dyDescent="0.2">
      <c r="A268" t="s">
        <v>30</v>
      </c>
      <c r="B268" t="s">
        <v>1</v>
      </c>
      <c r="C268" t="s">
        <v>2</v>
      </c>
      <c r="D268" t="s">
        <v>85</v>
      </c>
      <c r="E268" t="s">
        <v>161</v>
      </c>
      <c r="F268" t="s">
        <v>1</v>
      </c>
      <c r="G268" t="s">
        <v>32</v>
      </c>
      <c r="I268" t="s">
        <v>38</v>
      </c>
      <c r="J268" t="s">
        <v>36</v>
      </c>
      <c r="K268" t="s">
        <v>39</v>
      </c>
      <c r="L268">
        <v>5463</v>
      </c>
      <c r="M268">
        <v>9</v>
      </c>
      <c r="N268">
        <v>607</v>
      </c>
      <c r="O268">
        <v>54.63</v>
      </c>
      <c r="P268">
        <v>54.63</v>
      </c>
      <c r="Q268">
        <v>357086</v>
      </c>
      <c r="R268">
        <v>92</v>
      </c>
      <c r="S268">
        <v>365055</v>
      </c>
      <c r="T268">
        <v>91</v>
      </c>
      <c r="U268">
        <v>443337</v>
      </c>
      <c r="V268">
        <v>88</v>
      </c>
      <c r="W268">
        <v>82084.53</v>
      </c>
      <c r="X268">
        <v>7.12</v>
      </c>
      <c r="Y268">
        <v>22.99</v>
      </c>
      <c r="Z268">
        <v>7.77</v>
      </c>
      <c r="AA268">
        <v>98714.47</v>
      </c>
      <c r="AB268">
        <v>7.41</v>
      </c>
      <c r="AC268">
        <v>27.04</v>
      </c>
      <c r="AD268">
        <v>8.15</v>
      </c>
    </row>
    <row r="269" spans="1:30" x14ac:dyDescent="0.2">
      <c r="A269" t="s">
        <v>30</v>
      </c>
      <c r="B269" t="s">
        <v>1</v>
      </c>
      <c r="C269" t="s">
        <v>2</v>
      </c>
      <c r="D269" t="s">
        <v>85</v>
      </c>
      <c r="E269" t="s">
        <v>161</v>
      </c>
      <c r="F269" t="s">
        <v>1</v>
      </c>
      <c r="G269" t="s">
        <v>32</v>
      </c>
      <c r="I269" t="s">
        <v>35</v>
      </c>
      <c r="J269" t="s">
        <v>36</v>
      </c>
      <c r="K269" t="s">
        <v>39</v>
      </c>
      <c r="L269">
        <v>10000</v>
      </c>
      <c r="M269">
        <v>9</v>
      </c>
      <c r="N269">
        <v>1111.1110000000001</v>
      </c>
      <c r="O269">
        <v>100</v>
      </c>
      <c r="P269">
        <v>100</v>
      </c>
      <c r="Q269">
        <v>353717</v>
      </c>
      <c r="R269">
        <v>97</v>
      </c>
      <c r="S269">
        <v>361084</v>
      </c>
      <c r="T269">
        <v>97</v>
      </c>
      <c r="U269">
        <v>449549</v>
      </c>
      <c r="V269">
        <v>97</v>
      </c>
      <c r="W269">
        <v>83557.149999999994</v>
      </c>
      <c r="X269">
        <v>9.24</v>
      </c>
      <c r="Y269">
        <v>23.62</v>
      </c>
      <c r="Z269">
        <v>9.5399999999999991</v>
      </c>
      <c r="AA269">
        <v>100935.41</v>
      </c>
      <c r="AB269">
        <v>10.38</v>
      </c>
      <c r="AC269">
        <v>27.95</v>
      </c>
      <c r="AD269">
        <v>10.7</v>
      </c>
    </row>
    <row r="270" spans="1:30" x14ac:dyDescent="0.2">
      <c r="A270" t="s">
        <v>30</v>
      </c>
      <c r="B270" t="s">
        <v>1</v>
      </c>
      <c r="C270" t="s">
        <v>2</v>
      </c>
      <c r="D270" t="s">
        <v>85</v>
      </c>
      <c r="E270" t="s">
        <v>161</v>
      </c>
      <c r="F270" t="s">
        <v>1</v>
      </c>
      <c r="G270" t="s">
        <v>32</v>
      </c>
      <c r="I270" t="s">
        <v>38</v>
      </c>
      <c r="J270" t="s">
        <v>40</v>
      </c>
      <c r="L270">
        <v>5463</v>
      </c>
      <c r="M270">
        <v>9</v>
      </c>
      <c r="N270">
        <v>607</v>
      </c>
      <c r="O270">
        <v>54.63</v>
      </c>
      <c r="P270">
        <v>54.63</v>
      </c>
      <c r="Q270">
        <v>451</v>
      </c>
      <c r="R270" t="s">
        <v>33</v>
      </c>
      <c r="S270">
        <v>429</v>
      </c>
      <c r="T270" t="s">
        <v>33</v>
      </c>
      <c r="U270">
        <v>400</v>
      </c>
      <c r="V270" t="s">
        <v>33</v>
      </c>
      <c r="W270">
        <v>176.61</v>
      </c>
      <c r="X270" t="s">
        <v>33</v>
      </c>
      <c r="Y270">
        <v>39.15</v>
      </c>
      <c r="Z270" t="s">
        <v>33</v>
      </c>
      <c r="AA270">
        <v>160.12</v>
      </c>
      <c r="AB270" t="s">
        <v>33</v>
      </c>
      <c r="AC270">
        <v>37.32</v>
      </c>
      <c r="AD270" t="s">
        <v>33</v>
      </c>
    </row>
    <row r="271" spans="1:30" x14ac:dyDescent="0.2">
      <c r="A271" t="s">
        <v>30</v>
      </c>
      <c r="B271" t="s">
        <v>1</v>
      </c>
      <c r="C271" t="s">
        <v>2</v>
      </c>
      <c r="D271" t="s">
        <v>85</v>
      </c>
      <c r="E271" t="s">
        <v>161</v>
      </c>
      <c r="F271" t="s">
        <v>1</v>
      </c>
      <c r="G271" t="s">
        <v>32</v>
      </c>
      <c r="I271" t="s">
        <v>38</v>
      </c>
      <c r="J271" t="s">
        <v>41</v>
      </c>
      <c r="L271">
        <v>5463</v>
      </c>
      <c r="M271">
        <v>9</v>
      </c>
      <c r="N271">
        <v>607</v>
      </c>
      <c r="O271">
        <v>54.63</v>
      </c>
      <c r="P271">
        <v>54.63</v>
      </c>
      <c r="Q271">
        <v>18291</v>
      </c>
      <c r="R271" t="s">
        <v>33</v>
      </c>
      <c r="S271">
        <v>17473</v>
      </c>
      <c r="T271" t="s">
        <v>33</v>
      </c>
      <c r="U271">
        <v>18204</v>
      </c>
      <c r="V271" t="s">
        <v>33</v>
      </c>
      <c r="W271">
        <v>7039.86</v>
      </c>
      <c r="X271" t="s">
        <v>33</v>
      </c>
      <c r="Y271">
        <v>38.49</v>
      </c>
      <c r="Z271" t="s">
        <v>33</v>
      </c>
      <c r="AA271">
        <v>6223.95</v>
      </c>
      <c r="AB271" t="s">
        <v>33</v>
      </c>
      <c r="AC271">
        <v>35.619999999999997</v>
      </c>
      <c r="AD271" t="s">
        <v>33</v>
      </c>
    </row>
    <row r="272" spans="1:30" x14ac:dyDescent="0.2">
      <c r="A272" t="s">
        <v>30</v>
      </c>
      <c r="B272" t="s">
        <v>1</v>
      </c>
      <c r="C272" t="s">
        <v>2</v>
      </c>
      <c r="D272" t="s">
        <v>86</v>
      </c>
      <c r="E272" t="s">
        <v>162</v>
      </c>
      <c r="F272" t="s">
        <v>1</v>
      </c>
      <c r="G272" t="s">
        <v>32</v>
      </c>
      <c r="H272" t="s">
        <v>33</v>
      </c>
      <c r="I272" t="s">
        <v>34</v>
      </c>
      <c r="J272" t="s">
        <v>33</v>
      </c>
      <c r="K272" t="s">
        <v>33</v>
      </c>
      <c r="L272">
        <v>10000</v>
      </c>
      <c r="M272">
        <v>6</v>
      </c>
      <c r="N272">
        <v>1666.6669999999999</v>
      </c>
      <c r="O272">
        <v>100</v>
      </c>
      <c r="P272">
        <v>100</v>
      </c>
      <c r="Q272" t="s">
        <v>33</v>
      </c>
      <c r="R272" t="s">
        <v>33</v>
      </c>
      <c r="S272" t="s">
        <v>33</v>
      </c>
      <c r="T272" t="s">
        <v>33</v>
      </c>
      <c r="U272" t="s">
        <v>33</v>
      </c>
      <c r="V272" t="s">
        <v>33</v>
      </c>
      <c r="W272" t="s">
        <v>33</v>
      </c>
      <c r="X272" t="s">
        <v>33</v>
      </c>
      <c r="Y272" t="s">
        <v>33</v>
      </c>
      <c r="Z272" t="s">
        <v>33</v>
      </c>
      <c r="AA272" t="s">
        <v>33</v>
      </c>
      <c r="AB272" t="s">
        <v>33</v>
      </c>
      <c r="AC272" t="s">
        <v>33</v>
      </c>
      <c r="AD272" t="s">
        <v>33</v>
      </c>
    </row>
    <row r="273" spans="1:30" x14ac:dyDescent="0.2">
      <c r="A273" t="s">
        <v>30</v>
      </c>
      <c r="B273" t="s">
        <v>1</v>
      </c>
      <c r="C273" t="s">
        <v>2</v>
      </c>
      <c r="D273" t="s">
        <v>86</v>
      </c>
      <c r="E273" t="s">
        <v>162</v>
      </c>
      <c r="F273" t="s">
        <v>1</v>
      </c>
      <c r="G273" t="s">
        <v>32</v>
      </c>
      <c r="I273" t="s">
        <v>35</v>
      </c>
      <c r="J273" t="s">
        <v>36</v>
      </c>
      <c r="K273" t="s">
        <v>37</v>
      </c>
      <c r="L273">
        <v>10000</v>
      </c>
      <c r="M273">
        <v>6</v>
      </c>
      <c r="N273">
        <v>1666.6669999999999</v>
      </c>
      <c r="O273">
        <v>100</v>
      </c>
      <c r="P273">
        <v>100</v>
      </c>
      <c r="Q273">
        <v>322516</v>
      </c>
      <c r="R273">
        <v>93639</v>
      </c>
      <c r="S273">
        <v>324590</v>
      </c>
      <c r="T273">
        <v>87557</v>
      </c>
      <c r="U273">
        <v>347097</v>
      </c>
      <c r="V273">
        <v>87126</v>
      </c>
      <c r="W273">
        <v>83543.45</v>
      </c>
      <c r="X273">
        <v>33413.68</v>
      </c>
      <c r="Y273">
        <v>25.9</v>
      </c>
      <c r="Z273">
        <v>35.68</v>
      </c>
      <c r="AA273">
        <v>100600.34</v>
      </c>
      <c r="AB273">
        <v>31679.45</v>
      </c>
      <c r="AC273">
        <v>30.99</v>
      </c>
      <c r="AD273">
        <v>36.18</v>
      </c>
    </row>
    <row r="274" spans="1:30" x14ac:dyDescent="0.2">
      <c r="A274" t="s">
        <v>30</v>
      </c>
      <c r="B274" t="s">
        <v>1</v>
      </c>
      <c r="C274" t="s">
        <v>2</v>
      </c>
      <c r="D274" t="s">
        <v>86</v>
      </c>
      <c r="E274" t="s">
        <v>162</v>
      </c>
      <c r="F274" t="s">
        <v>1</v>
      </c>
      <c r="G274" t="s">
        <v>32</v>
      </c>
      <c r="I274" t="s">
        <v>38</v>
      </c>
      <c r="J274" t="s">
        <v>36</v>
      </c>
      <c r="K274" t="s">
        <v>39</v>
      </c>
      <c r="L274">
        <v>5090</v>
      </c>
      <c r="M274">
        <v>6</v>
      </c>
      <c r="N274">
        <v>848.33299999999997</v>
      </c>
      <c r="O274">
        <v>50.9</v>
      </c>
      <c r="P274">
        <v>50.9</v>
      </c>
      <c r="Q274">
        <v>325584</v>
      </c>
      <c r="R274">
        <v>90</v>
      </c>
      <c r="S274">
        <v>328217</v>
      </c>
      <c r="T274">
        <v>90</v>
      </c>
      <c r="U274">
        <v>351070</v>
      </c>
      <c r="V274">
        <v>89</v>
      </c>
      <c r="W274">
        <v>82591.95</v>
      </c>
      <c r="X274">
        <v>7.05</v>
      </c>
      <c r="Y274">
        <v>25.37</v>
      </c>
      <c r="Z274">
        <v>7.83</v>
      </c>
      <c r="AA274">
        <v>97857.53</v>
      </c>
      <c r="AB274">
        <v>7.41</v>
      </c>
      <c r="AC274">
        <v>29.81</v>
      </c>
      <c r="AD274">
        <v>8.24</v>
      </c>
    </row>
    <row r="275" spans="1:30" x14ac:dyDescent="0.2">
      <c r="A275" t="s">
        <v>30</v>
      </c>
      <c r="B275" t="s">
        <v>1</v>
      </c>
      <c r="C275" t="s">
        <v>2</v>
      </c>
      <c r="D275" t="s">
        <v>86</v>
      </c>
      <c r="E275" t="s">
        <v>162</v>
      </c>
      <c r="F275" t="s">
        <v>1</v>
      </c>
      <c r="G275" t="s">
        <v>32</v>
      </c>
      <c r="I275" t="s">
        <v>35</v>
      </c>
      <c r="J275" t="s">
        <v>36</v>
      </c>
      <c r="K275" t="s">
        <v>39</v>
      </c>
      <c r="L275">
        <v>10000</v>
      </c>
      <c r="M275">
        <v>6</v>
      </c>
      <c r="N275">
        <v>1666.6669999999999</v>
      </c>
      <c r="O275">
        <v>100</v>
      </c>
      <c r="P275">
        <v>100</v>
      </c>
      <c r="Q275">
        <v>322516</v>
      </c>
      <c r="R275">
        <v>96</v>
      </c>
      <c r="S275">
        <v>324590</v>
      </c>
      <c r="T275">
        <v>95</v>
      </c>
      <c r="U275">
        <v>347097</v>
      </c>
      <c r="V275">
        <v>94</v>
      </c>
      <c r="W275">
        <v>83543.45</v>
      </c>
      <c r="X275">
        <v>9.48</v>
      </c>
      <c r="Y275">
        <v>25.9</v>
      </c>
      <c r="Z275">
        <v>9.9</v>
      </c>
      <c r="AA275">
        <v>100600.34</v>
      </c>
      <c r="AB275">
        <v>10.38</v>
      </c>
      <c r="AC275">
        <v>30.99</v>
      </c>
      <c r="AD275">
        <v>10.92</v>
      </c>
    </row>
    <row r="276" spans="1:30" x14ac:dyDescent="0.2">
      <c r="A276" t="s">
        <v>30</v>
      </c>
      <c r="B276" t="s">
        <v>1</v>
      </c>
      <c r="C276" t="s">
        <v>2</v>
      </c>
      <c r="D276" t="s">
        <v>86</v>
      </c>
      <c r="E276" t="s">
        <v>162</v>
      </c>
      <c r="F276" t="s">
        <v>1</v>
      </c>
      <c r="G276" t="s">
        <v>32</v>
      </c>
      <c r="I276" t="s">
        <v>38</v>
      </c>
      <c r="J276" t="s">
        <v>40</v>
      </c>
      <c r="L276">
        <v>5090</v>
      </c>
      <c r="M276">
        <v>6</v>
      </c>
      <c r="N276">
        <v>848.33299999999997</v>
      </c>
      <c r="O276">
        <v>50.9</v>
      </c>
      <c r="P276">
        <v>50.9</v>
      </c>
      <c r="Q276">
        <v>183</v>
      </c>
      <c r="R276" t="s">
        <v>33</v>
      </c>
      <c r="S276">
        <v>165</v>
      </c>
      <c r="T276" t="s">
        <v>33</v>
      </c>
      <c r="U276">
        <v>157</v>
      </c>
      <c r="V276" t="s">
        <v>33</v>
      </c>
      <c r="W276">
        <v>175.46</v>
      </c>
      <c r="X276" t="s">
        <v>33</v>
      </c>
      <c r="Y276">
        <v>96.09</v>
      </c>
      <c r="Z276" t="s">
        <v>33</v>
      </c>
      <c r="AA276">
        <v>69.680000000000007</v>
      </c>
      <c r="AB276" t="s">
        <v>33</v>
      </c>
      <c r="AC276">
        <v>42.23</v>
      </c>
      <c r="AD276" t="s">
        <v>33</v>
      </c>
    </row>
    <row r="277" spans="1:30" x14ac:dyDescent="0.2">
      <c r="A277" t="s">
        <v>30</v>
      </c>
      <c r="B277" t="s">
        <v>1</v>
      </c>
      <c r="C277" t="s">
        <v>2</v>
      </c>
      <c r="D277" t="s">
        <v>86</v>
      </c>
      <c r="E277" t="s">
        <v>162</v>
      </c>
      <c r="F277" t="s">
        <v>1</v>
      </c>
      <c r="G277" t="s">
        <v>32</v>
      </c>
      <c r="I277" t="s">
        <v>38</v>
      </c>
      <c r="J277" t="s">
        <v>41</v>
      </c>
      <c r="L277">
        <v>5090</v>
      </c>
      <c r="M277">
        <v>6</v>
      </c>
      <c r="N277">
        <v>848.33299999999997</v>
      </c>
      <c r="O277">
        <v>50.9</v>
      </c>
      <c r="P277">
        <v>50.9</v>
      </c>
      <c r="Q277">
        <v>580</v>
      </c>
      <c r="R277" t="s">
        <v>33</v>
      </c>
      <c r="S277">
        <v>498</v>
      </c>
      <c r="T277" t="s">
        <v>33</v>
      </c>
      <c r="U277">
        <v>470</v>
      </c>
      <c r="V277" t="s">
        <v>33</v>
      </c>
      <c r="W277">
        <v>477.25</v>
      </c>
      <c r="X277" t="s">
        <v>33</v>
      </c>
      <c r="Y277">
        <v>82.23</v>
      </c>
      <c r="Z277" t="s">
        <v>33</v>
      </c>
      <c r="AA277">
        <v>266.87</v>
      </c>
      <c r="AB277" t="s">
        <v>33</v>
      </c>
      <c r="AC277">
        <v>53.59</v>
      </c>
      <c r="AD277" t="s">
        <v>33</v>
      </c>
    </row>
    <row r="278" spans="1:30" x14ac:dyDescent="0.2">
      <c r="A278" t="s">
        <v>30</v>
      </c>
      <c r="B278" t="s">
        <v>1</v>
      </c>
      <c r="C278" t="s">
        <v>2</v>
      </c>
      <c r="D278" t="s">
        <v>87</v>
      </c>
      <c r="E278" t="s">
        <v>163</v>
      </c>
      <c r="F278" t="s">
        <v>1</v>
      </c>
      <c r="G278" t="s">
        <v>32</v>
      </c>
      <c r="H278" t="s">
        <v>33</v>
      </c>
      <c r="I278" t="s">
        <v>34</v>
      </c>
      <c r="J278" t="s">
        <v>33</v>
      </c>
      <c r="K278" t="s">
        <v>33</v>
      </c>
      <c r="L278">
        <v>10000</v>
      </c>
      <c r="M278">
        <v>8</v>
      </c>
      <c r="N278">
        <v>1250</v>
      </c>
      <c r="O278">
        <v>100</v>
      </c>
      <c r="P278">
        <v>100</v>
      </c>
      <c r="Q278" t="s">
        <v>33</v>
      </c>
      <c r="R278" t="s">
        <v>33</v>
      </c>
      <c r="S278" t="s">
        <v>33</v>
      </c>
      <c r="T278" t="s">
        <v>33</v>
      </c>
      <c r="U278" t="s">
        <v>33</v>
      </c>
      <c r="V278" t="s">
        <v>33</v>
      </c>
      <c r="W278" t="s">
        <v>33</v>
      </c>
      <c r="X278" t="s">
        <v>33</v>
      </c>
      <c r="Y278" t="s">
        <v>33</v>
      </c>
      <c r="Z278" t="s">
        <v>33</v>
      </c>
      <c r="AA278" t="s">
        <v>33</v>
      </c>
      <c r="AB278" t="s">
        <v>33</v>
      </c>
      <c r="AC278" t="s">
        <v>33</v>
      </c>
      <c r="AD278" t="s">
        <v>33</v>
      </c>
    </row>
    <row r="279" spans="1:30" x14ac:dyDescent="0.2">
      <c r="A279" t="s">
        <v>30</v>
      </c>
      <c r="B279" t="s">
        <v>1</v>
      </c>
      <c r="C279" t="s">
        <v>2</v>
      </c>
      <c r="D279" t="s">
        <v>87</v>
      </c>
      <c r="E279" t="s">
        <v>163</v>
      </c>
      <c r="F279" t="s">
        <v>1</v>
      </c>
      <c r="G279" t="s">
        <v>32</v>
      </c>
      <c r="I279" t="s">
        <v>35</v>
      </c>
      <c r="J279" t="s">
        <v>36</v>
      </c>
      <c r="K279" t="s">
        <v>37</v>
      </c>
      <c r="L279">
        <v>10000</v>
      </c>
      <c r="M279">
        <v>8</v>
      </c>
      <c r="N279">
        <v>1250</v>
      </c>
      <c r="O279">
        <v>100</v>
      </c>
      <c r="P279">
        <v>100</v>
      </c>
      <c r="Q279">
        <v>339850</v>
      </c>
      <c r="R279">
        <v>99548</v>
      </c>
      <c r="S279">
        <v>347231</v>
      </c>
      <c r="T279">
        <v>95933</v>
      </c>
      <c r="U279">
        <v>379954</v>
      </c>
      <c r="V279">
        <v>91224</v>
      </c>
      <c r="W279">
        <v>83557.41</v>
      </c>
      <c r="X279">
        <v>33174.629999999997</v>
      </c>
      <c r="Y279">
        <v>24.59</v>
      </c>
      <c r="Z279">
        <v>33.33</v>
      </c>
      <c r="AA279">
        <v>100294.92</v>
      </c>
      <c r="AB279">
        <v>33880.370000000003</v>
      </c>
      <c r="AC279">
        <v>28.88</v>
      </c>
      <c r="AD279">
        <v>35.32</v>
      </c>
    </row>
    <row r="280" spans="1:30" x14ac:dyDescent="0.2">
      <c r="A280" t="s">
        <v>30</v>
      </c>
      <c r="B280" t="s">
        <v>1</v>
      </c>
      <c r="C280" t="s">
        <v>2</v>
      </c>
      <c r="D280" t="s">
        <v>87</v>
      </c>
      <c r="E280" t="s">
        <v>163</v>
      </c>
      <c r="F280" t="s">
        <v>1</v>
      </c>
      <c r="G280" t="s">
        <v>32</v>
      </c>
      <c r="I280" t="s">
        <v>38</v>
      </c>
      <c r="J280" t="s">
        <v>36</v>
      </c>
      <c r="K280" t="s">
        <v>39</v>
      </c>
      <c r="L280">
        <v>5048</v>
      </c>
      <c r="M280">
        <v>8</v>
      </c>
      <c r="N280">
        <v>631</v>
      </c>
      <c r="O280">
        <v>50.48</v>
      </c>
      <c r="P280">
        <v>50.48</v>
      </c>
      <c r="Q280">
        <v>342069</v>
      </c>
      <c r="R280">
        <v>91</v>
      </c>
      <c r="S280">
        <v>349709</v>
      </c>
      <c r="T280">
        <v>91</v>
      </c>
      <c r="U280">
        <v>363334</v>
      </c>
      <c r="V280">
        <v>91</v>
      </c>
      <c r="W280">
        <v>83204.5</v>
      </c>
      <c r="X280">
        <v>7.28</v>
      </c>
      <c r="Y280">
        <v>24.32</v>
      </c>
      <c r="Z280">
        <v>8</v>
      </c>
      <c r="AA280">
        <v>97440.18</v>
      </c>
      <c r="AB280">
        <v>7.41</v>
      </c>
      <c r="AC280">
        <v>27.86</v>
      </c>
      <c r="AD280">
        <v>8.15</v>
      </c>
    </row>
    <row r="281" spans="1:30" x14ac:dyDescent="0.2">
      <c r="A281" t="s">
        <v>30</v>
      </c>
      <c r="B281" t="s">
        <v>1</v>
      </c>
      <c r="C281" t="s">
        <v>2</v>
      </c>
      <c r="D281" t="s">
        <v>87</v>
      </c>
      <c r="E281" t="s">
        <v>163</v>
      </c>
      <c r="F281" t="s">
        <v>1</v>
      </c>
      <c r="G281" t="s">
        <v>32</v>
      </c>
      <c r="I281" t="s">
        <v>35</v>
      </c>
      <c r="J281" t="s">
        <v>36</v>
      </c>
      <c r="K281" t="s">
        <v>39</v>
      </c>
      <c r="L281">
        <v>10000</v>
      </c>
      <c r="M281">
        <v>8</v>
      </c>
      <c r="N281">
        <v>1250</v>
      </c>
      <c r="O281">
        <v>100</v>
      </c>
      <c r="P281">
        <v>100</v>
      </c>
      <c r="Q281">
        <v>339850</v>
      </c>
      <c r="R281">
        <v>97</v>
      </c>
      <c r="S281">
        <v>347231</v>
      </c>
      <c r="T281">
        <v>97</v>
      </c>
      <c r="U281">
        <v>379954</v>
      </c>
      <c r="V281">
        <v>96</v>
      </c>
      <c r="W281">
        <v>83557.41</v>
      </c>
      <c r="X281">
        <v>9.7200000000000006</v>
      </c>
      <c r="Y281">
        <v>24.59</v>
      </c>
      <c r="Z281">
        <v>10.02</v>
      </c>
      <c r="AA281">
        <v>100294.92</v>
      </c>
      <c r="AB281">
        <v>10.38</v>
      </c>
      <c r="AC281">
        <v>28.88</v>
      </c>
      <c r="AD281">
        <v>10.7</v>
      </c>
    </row>
    <row r="282" spans="1:30" x14ac:dyDescent="0.2">
      <c r="A282" t="s">
        <v>30</v>
      </c>
      <c r="B282" t="s">
        <v>1</v>
      </c>
      <c r="C282" t="s">
        <v>2</v>
      </c>
      <c r="D282" t="s">
        <v>87</v>
      </c>
      <c r="E282" t="s">
        <v>163</v>
      </c>
      <c r="F282" t="s">
        <v>1</v>
      </c>
      <c r="G282" t="s">
        <v>32</v>
      </c>
      <c r="I282" t="s">
        <v>38</v>
      </c>
      <c r="J282" t="s">
        <v>40</v>
      </c>
      <c r="L282">
        <v>5048</v>
      </c>
      <c r="M282">
        <v>8</v>
      </c>
      <c r="N282">
        <v>631</v>
      </c>
      <c r="O282">
        <v>50.48</v>
      </c>
      <c r="P282">
        <v>50.48</v>
      </c>
      <c r="Q282">
        <v>354</v>
      </c>
      <c r="R282" t="s">
        <v>33</v>
      </c>
      <c r="S282">
        <v>336</v>
      </c>
      <c r="T282" t="s">
        <v>33</v>
      </c>
      <c r="U282">
        <v>278</v>
      </c>
      <c r="V282" t="s">
        <v>33</v>
      </c>
      <c r="W282">
        <v>147.9</v>
      </c>
      <c r="X282" t="s">
        <v>33</v>
      </c>
      <c r="Y282">
        <v>41.75</v>
      </c>
      <c r="Z282" t="s">
        <v>33</v>
      </c>
      <c r="AA282">
        <v>145.29</v>
      </c>
      <c r="AB282" t="s">
        <v>33</v>
      </c>
      <c r="AC282">
        <v>43.24</v>
      </c>
      <c r="AD282" t="s">
        <v>33</v>
      </c>
    </row>
    <row r="283" spans="1:30" x14ac:dyDescent="0.2">
      <c r="A283" t="s">
        <v>30</v>
      </c>
      <c r="B283" t="s">
        <v>1</v>
      </c>
      <c r="C283" t="s">
        <v>2</v>
      </c>
      <c r="D283" t="s">
        <v>87</v>
      </c>
      <c r="E283" t="s">
        <v>163</v>
      </c>
      <c r="F283" t="s">
        <v>1</v>
      </c>
      <c r="G283" t="s">
        <v>32</v>
      </c>
      <c r="I283" t="s">
        <v>38</v>
      </c>
      <c r="J283" t="s">
        <v>41</v>
      </c>
      <c r="L283">
        <v>5048</v>
      </c>
      <c r="M283">
        <v>8</v>
      </c>
      <c r="N283">
        <v>631</v>
      </c>
      <c r="O283">
        <v>50.48</v>
      </c>
      <c r="P283">
        <v>50.48</v>
      </c>
      <c r="Q283">
        <v>610</v>
      </c>
      <c r="R283" t="s">
        <v>33</v>
      </c>
      <c r="S283">
        <v>528</v>
      </c>
      <c r="T283" t="s">
        <v>33</v>
      </c>
      <c r="U283">
        <v>439</v>
      </c>
      <c r="V283" t="s">
        <v>33</v>
      </c>
      <c r="W283">
        <v>461.18</v>
      </c>
      <c r="X283" t="s">
        <v>33</v>
      </c>
      <c r="Y283">
        <v>75.63</v>
      </c>
      <c r="Z283" t="s">
        <v>33</v>
      </c>
      <c r="AA283">
        <v>275.76</v>
      </c>
      <c r="AB283" t="s">
        <v>33</v>
      </c>
      <c r="AC283">
        <v>52.23</v>
      </c>
      <c r="AD283" t="s">
        <v>33</v>
      </c>
    </row>
    <row r="284" spans="1:30" x14ac:dyDescent="0.2">
      <c r="A284" t="s">
        <v>30</v>
      </c>
      <c r="B284" t="s">
        <v>1</v>
      </c>
      <c r="C284" t="s">
        <v>2</v>
      </c>
      <c r="D284" t="s">
        <v>88</v>
      </c>
      <c r="E284" t="s">
        <v>164</v>
      </c>
      <c r="F284" t="s">
        <v>1</v>
      </c>
      <c r="G284" t="s">
        <v>32</v>
      </c>
      <c r="H284" t="s">
        <v>33</v>
      </c>
      <c r="I284" t="s">
        <v>34</v>
      </c>
      <c r="J284" t="s">
        <v>33</v>
      </c>
      <c r="K284" t="s">
        <v>33</v>
      </c>
      <c r="L284">
        <v>10000</v>
      </c>
      <c r="M284">
        <v>23</v>
      </c>
      <c r="N284">
        <v>434.78300000000002</v>
      </c>
      <c r="O284">
        <v>100</v>
      </c>
      <c r="P284">
        <v>100</v>
      </c>
      <c r="Q284" t="s">
        <v>33</v>
      </c>
      <c r="R284" t="s">
        <v>33</v>
      </c>
      <c r="S284" t="s">
        <v>33</v>
      </c>
      <c r="T284" t="s">
        <v>33</v>
      </c>
      <c r="U284" t="s">
        <v>33</v>
      </c>
      <c r="V284" t="s">
        <v>33</v>
      </c>
      <c r="W284" t="s">
        <v>33</v>
      </c>
      <c r="X284" t="s">
        <v>33</v>
      </c>
      <c r="Y284" t="s">
        <v>33</v>
      </c>
      <c r="Z284" t="s">
        <v>33</v>
      </c>
      <c r="AA284" t="s">
        <v>33</v>
      </c>
      <c r="AB284" t="s">
        <v>33</v>
      </c>
      <c r="AC284" t="s">
        <v>33</v>
      </c>
      <c r="AD284" t="s">
        <v>33</v>
      </c>
    </row>
    <row r="285" spans="1:30" x14ac:dyDescent="0.2">
      <c r="A285" t="s">
        <v>30</v>
      </c>
      <c r="B285" t="s">
        <v>1</v>
      </c>
      <c r="C285" t="s">
        <v>2</v>
      </c>
      <c r="D285" t="s">
        <v>88</v>
      </c>
      <c r="E285" t="s">
        <v>164</v>
      </c>
      <c r="F285" t="s">
        <v>1</v>
      </c>
      <c r="G285" t="s">
        <v>32</v>
      </c>
      <c r="I285" t="s">
        <v>35</v>
      </c>
      <c r="J285" t="s">
        <v>36</v>
      </c>
      <c r="K285" t="s">
        <v>37</v>
      </c>
      <c r="L285">
        <v>10000</v>
      </c>
      <c r="M285">
        <v>23</v>
      </c>
      <c r="N285">
        <v>434.78300000000002</v>
      </c>
      <c r="O285">
        <v>100</v>
      </c>
      <c r="P285">
        <v>100</v>
      </c>
      <c r="Q285">
        <v>353828</v>
      </c>
      <c r="R285">
        <v>100793</v>
      </c>
      <c r="S285">
        <v>361417</v>
      </c>
      <c r="T285">
        <v>97051</v>
      </c>
      <c r="U285">
        <v>408488</v>
      </c>
      <c r="V285">
        <v>91136</v>
      </c>
      <c r="W285">
        <v>78578.490000000005</v>
      </c>
      <c r="X285">
        <v>31961.63</v>
      </c>
      <c r="Y285">
        <v>22.21</v>
      </c>
      <c r="Z285">
        <v>31.71</v>
      </c>
      <c r="AA285">
        <v>94202.18</v>
      </c>
      <c r="AB285">
        <v>31594.21</v>
      </c>
      <c r="AC285">
        <v>26.06</v>
      </c>
      <c r="AD285">
        <v>32.549999999999997</v>
      </c>
    </row>
    <row r="286" spans="1:30" x14ac:dyDescent="0.2">
      <c r="A286" t="s">
        <v>30</v>
      </c>
      <c r="B286" t="s">
        <v>1</v>
      </c>
      <c r="C286" t="s">
        <v>2</v>
      </c>
      <c r="D286" t="s">
        <v>88</v>
      </c>
      <c r="E286" t="s">
        <v>164</v>
      </c>
      <c r="F286" t="s">
        <v>1</v>
      </c>
      <c r="G286" t="s">
        <v>32</v>
      </c>
      <c r="I286" t="s">
        <v>38</v>
      </c>
      <c r="J286" t="s">
        <v>36</v>
      </c>
      <c r="K286" t="s">
        <v>39</v>
      </c>
      <c r="L286">
        <v>5111</v>
      </c>
      <c r="M286">
        <v>23</v>
      </c>
      <c r="N286">
        <v>222.21700000000001</v>
      </c>
      <c r="O286">
        <v>51.11</v>
      </c>
      <c r="P286">
        <v>51.11</v>
      </c>
      <c r="Q286">
        <v>355239</v>
      </c>
      <c r="R286">
        <v>92</v>
      </c>
      <c r="S286">
        <v>363295</v>
      </c>
      <c r="T286">
        <v>92</v>
      </c>
      <c r="U286">
        <v>396220</v>
      </c>
      <c r="V286">
        <v>89</v>
      </c>
      <c r="W286">
        <v>77505.210000000006</v>
      </c>
      <c r="X286">
        <v>6.91</v>
      </c>
      <c r="Y286">
        <v>21.82</v>
      </c>
      <c r="Z286">
        <v>7.48</v>
      </c>
      <c r="AA286">
        <v>91523.86</v>
      </c>
      <c r="AB286">
        <v>7.41</v>
      </c>
      <c r="AC286">
        <v>25.19</v>
      </c>
      <c r="AD286">
        <v>8.06</v>
      </c>
    </row>
    <row r="287" spans="1:30" x14ac:dyDescent="0.2">
      <c r="A287" t="s">
        <v>30</v>
      </c>
      <c r="B287" t="s">
        <v>1</v>
      </c>
      <c r="C287" t="s">
        <v>2</v>
      </c>
      <c r="D287" t="s">
        <v>88</v>
      </c>
      <c r="E287" t="s">
        <v>164</v>
      </c>
      <c r="F287" t="s">
        <v>1</v>
      </c>
      <c r="G287" t="s">
        <v>32</v>
      </c>
      <c r="I287" t="s">
        <v>35</v>
      </c>
      <c r="J287" t="s">
        <v>36</v>
      </c>
      <c r="K287" t="s">
        <v>39</v>
      </c>
      <c r="L287">
        <v>10000</v>
      </c>
      <c r="M287">
        <v>23</v>
      </c>
      <c r="N287">
        <v>434.78300000000002</v>
      </c>
      <c r="O287">
        <v>100</v>
      </c>
      <c r="P287">
        <v>100</v>
      </c>
      <c r="Q287">
        <v>353828</v>
      </c>
      <c r="R287">
        <v>98</v>
      </c>
      <c r="S287">
        <v>361417</v>
      </c>
      <c r="T287">
        <v>98</v>
      </c>
      <c r="U287">
        <v>408488</v>
      </c>
      <c r="V287">
        <v>99</v>
      </c>
      <c r="W287">
        <v>78578.490000000005</v>
      </c>
      <c r="X287">
        <v>8.9700000000000006</v>
      </c>
      <c r="Y287">
        <v>22.21</v>
      </c>
      <c r="Z287">
        <v>9.16</v>
      </c>
      <c r="AA287">
        <v>94202.18</v>
      </c>
      <c r="AB287">
        <v>10.38</v>
      </c>
      <c r="AC287">
        <v>26.06</v>
      </c>
      <c r="AD287">
        <v>10.59</v>
      </c>
    </row>
    <row r="288" spans="1:30" x14ac:dyDescent="0.2">
      <c r="A288" t="s">
        <v>30</v>
      </c>
      <c r="B288" t="s">
        <v>1</v>
      </c>
      <c r="C288" t="s">
        <v>2</v>
      </c>
      <c r="D288" t="s">
        <v>88</v>
      </c>
      <c r="E288" t="s">
        <v>164</v>
      </c>
      <c r="F288" t="s">
        <v>1</v>
      </c>
      <c r="G288" t="s">
        <v>32</v>
      </c>
      <c r="I288" t="s">
        <v>38</v>
      </c>
      <c r="J288" t="s">
        <v>40</v>
      </c>
      <c r="L288">
        <v>5111</v>
      </c>
      <c r="M288">
        <v>23</v>
      </c>
      <c r="N288">
        <v>222.21700000000001</v>
      </c>
      <c r="O288">
        <v>51.11</v>
      </c>
      <c r="P288">
        <v>51.11</v>
      </c>
      <c r="Q288">
        <v>406</v>
      </c>
      <c r="R288" t="s">
        <v>33</v>
      </c>
      <c r="S288">
        <v>386</v>
      </c>
      <c r="T288" t="s">
        <v>33</v>
      </c>
      <c r="U288">
        <v>433</v>
      </c>
      <c r="V288" t="s">
        <v>33</v>
      </c>
      <c r="W288">
        <v>165.5</v>
      </c>
      <c r="X288" t="s">
        <v>33</v>
      </c>
      <c r="Y288">
        <v>40.76</v>
      </c>
      <c r="Z288" t="s">
        <v>33</v>
      </c>
      <c r="AA288">
        <v>155.66999999999999</v>
      </c>
      <c r="AB288" t="s">
        <v>33</v>
      </c>
      <c r="AC288">
        <v>40.33</v>
      </c>
      <c r="AD288" t="s">
        <v>33</v>
      </c>
    </row>
    <row r="289" spans="1:30" x14ac:dyDescent="0.2">
      <c r="A289" t="s">
        <v>30</v>
      </c>
      <c r="B289" t="s">
        <v>1</v>
      </c>
      <c r="C289" t="s">
        <v>2</v>
      </c>
      <c r="D289" t="s">
        <v>88</v>
      </c>
      <c r="E289" t="s">
        <v>164</v>
      </c>
      <c r="F289" t="s">
        <v>1</v>
      </c>
      <c r="G289" t="s">
        <v>32</v>
      </c>
      <c r="I289" t="s">
        <v>38</v>
      </c>
      <c r="J289" t="s">
        <v>41</v>
      </c>
      <c r="L289">
        <v>5111</v>
      </c>
      <c r="M289">
        <v>23</v>
      </c>
      <c r="N289">
        <v>222.21700000000001</v>
      </c>
      <c r="O289">
        <v>51.11</v>
      </c>
      <c r="P289">
        <v>51.11</v>
      </c>
      <c r="Q289">
        <v>933</v>
      </c>
      <c r="R289" t="s">
        <v>33</v>
      </c>
      <c r="S289">
        <v>805</v>
      </c>
      <c r="T289" t="s">
        <v>33</v>
      </c>
      <c r="U289">
        <v>877</v>
      </c>
      <c r="V289" t="s">
        <v>33</v>
      </c>
      <c r="W289">
        <v>746.24</v>
      </c>
      <c r="X289" t="s">
        <v>33</v>
      </c>
      <c r="Y289">
        <v>80.010000000000005</v>
      </c>
      <c r="Z289" t="s">
        <v>33</v>
      </c>
      <c r="AA289">
        <v>397.34</v>
      </c>
      <c r="AB289" t="s">
        <v>33</v>
      </c>
      <c r="AC289">
        <v>49.36</v>
      </c>
      <c r="AD289" t="s">
        <v>33</v>
      </c>
    </row>
    <row r="290" spans="1:30" x14ac:dyDescent="0.2">
      <c r="A290" t="s">
        <v>30</v>
      </c>
      <c r="B290" t="s">
        <v>1</v>
      </c>
      <c r="C290" t="s">
        <v>2</v>
      </c>
      <c r="D290" t="s">
        <v>89</v>
      </c>
      <c r="E290" t="s">
        <v>165</v>
      </c>
      <c r="F290" t="s">
        <v>1</v>
      </c>
      <c r="G290" t="s">
        <v>32</v>
      </c>
      <c r="H290" t="s">
        <v>33</v>
      </c>
      <c r="I290" t="s">
        <v>34</v>
      </c>
      <c r="J290" t="s">
        <v>33</v>
      </c>
      <c r="K290" t="s">
        <v>33</v>
      </c>
      <c r="L290">
        <v>10000</v>
      </c>
      <c r="M290">
        <v>18</v>
      </c>
      <c r="N290">
        <v>555.55600000000004</v>
      </c>
      <c r="O290">
        <v>100</v>
      </c>
      <c r="P290">
        <v>100</v>
      </c>
      <c r="Q290" t="s">
        <v>33</v>
      </c>
      <c r="R290" t="s">
        <v>33</v>
      </c>
      <c r="S290" t="s">
        <v>33</v>
      </c>
      <c r="T290" t="s">
        <v>33</v>
      </c>
      <c r="U290" t="s">
        <v>33</v>
      </c>
      <c r="V290" t="s">
        <v>33</v>
      </c>
      <c r="W290" t="s">
        <v>33</v>
      </c>
      <c r="X290" t="s">
        <v>33</v>
      </c>
      <c r="Y290" t="s">
        <v>33</v>
      </c>
      <c r="Z290" t="s">
        <v>33</v>
      </c>
      <c r="AA290" t="s">
        <v>33</v>
      </c>
      <c r="AB290" t="s">
        <v>33</v>
      </c>
      <c r="AC290" t="s">
        <v>33</v>
      </c>
      <c r="AD290" t="s">
        <v>33</v>
      </c>
    </row>
    <row r="291" spans="1:30" x14ac:dyDescent="0.2">
      <c r="A291" t="s">
        <v>30</v>
      </c>
      <c r="B291" t="s">
        <v>1</v>
      </c>
      <c r="C291" t="s">
        <v>2</v>
      </c>
      <c r="D291" t="s">
        <v>89</v>
      </c>
      <c r="E291" t="s">
        <v>165</v>
      </c>
      <c r="F291" t="s">
        <v>1</v>
      </c>
      <c r="G291" t="s">
        <v>32</v>
      </c>
      <c r="I291" t="s">
        <v>35</v>
      </c>
      <c r="J291" t="s">
        <v>36</v>
      </c>
      <c r="K291" t="s">
        <v>37</v>
      </c>
      <c r="L291">
        <v>10000</v>
      </c>
      <c r="M291">
        <v>18</v>
      </c>
      <c r="N291">
        <v>555.55600000000004</v>
      </c>
      <c r="O291">
        <v>100</v>
      </c>
      <c r="P291">
        <v>100</v>
      </c>
      <c r="Q291">
        <v>349505</v>
      </c>
      <c r="R291">
        <v>99556</v>
      </c>
      <c r="S291">
        <v>353420</v>
      </c>
      <c r="T291">
        <v>95550</v>
      </c>
      <c r="U291">
        <v>406474</v>
      </c>
      <c r="V291">
        <v>87089</v>
      </c>
      <c r="W291">
        <v>79252.320000000007</v>
      </c>
      <c r="X291">
        <v>32066.12</v>
      </c>
      <c r="Y291">
        <v>22.68</v>
      </c>
      <c r="Z291">
        <v>32.21</v>
      </c>
      <c r="AA291">
        <v>95716.65</v>
      </c>
      <c r="AB291">
        <v>32347.37</v>
      </c>
      <c r="AC291">
        <v>27.08</v>
      </c>
      <c r="AD291">
        <v>33.85</v>
      </c>
    </row>
    <row r="292" spans="1:30" x14ac:dyDescent="0.2">
      <c r="A292" t="s">
        <v>30</v>
      </c>
      <c r="B292" t="s">
        <v>1</v>
      </c>
      <c r="C292" t="s">
        <v>2</v>
      </c>
      <c r="D292" t="s">
        <v>89</v>
      </c>
      <c r="E292" t="s">
        <v>165</v>
      </c>
      <c r="F292" t="s">
        <v>1</v>
      </c>
      <c r="G292" t="s">
        <v>32</v>
      </c>
      <c r="I292" t="s">
        <v>38</v>
      </c>
      <c r="J292" t="s">
        <v>36</v>
      </c>
      <c r="K292" t="s">
        <v>39</v>
      </c>
      <c r="L292">
        <v>4911</v>
      </c>
      <c r="M292">
        <v>18</v>
      </c>
      <c r="N292">
        <v>272.83300000000003</v>
      </c>
      <c r="O292">
        <v>49.11</v>
      </c>
      <c r="P292">
        <v>49.11</v>
      </c>
      <c r="Q292">
        <v>351208</v>
      </c>
      <c r="R292">
        <v>92</v>
      </c>
      <c r="S292">
        <v>355652</v>
      </c>
      <c r="T292">
        <v>92</v>
      </c>
      <c r="U292">
        <v>406524</v>
      </c>
      <c r="V292">
        <v>90</v>
      </c>
      <c r="W292">
        <v>77658.320000000007</v>
      </c>
      <c r="X292">
        <v>6.94</v>
      </c>
      <c r="Y292">
        <v>22.11</v>
      </c>
      <c r="Z292">
        <v>7.53</v>
      </c>
      <c r="AA292">
        <v>91767.01</v>
      </c>
      <c r="AB292">
        <v>7.41</v>
      </c>
      <c r="AC292">
        <v>25.8</v>
      </c>
      <c r="AD292">
        <v>8.06</v>
      </c>
    </row>
    <row r="293" spans="1:30" x14ac:dyDescent="0.2">
      <c r="A293" t="s">
        <v>30</v>
      </c>
      <c r="B293" t="s">
        <v>1</v>
      </c>
      <c r="C293" t="s">
        <v>2</v>
      </c>
      <c r="D293" t="s">
        <v>89</v>
      </c>
      <c r="E293" t="s">
        <v>165</v>
      </c>
      <c r="F293" t="s">
        <v>1</v>
      </c>
      <c r="G293" t="s">
        <v>32</v>
      </c>
      <c r="I293" t="s">
        <v>35</v>
      </c>
      <c r="J293" t="s">
        <v>36</v>
      </c>
      <c r="K293" t="s">
        <v>39</v>
      </c>
      <c r="L293">
        <v>10000</v>
      </c>
      <c r="M293">
        <v>18</v>
      </c>
      <c r="N293">
        <v>555.55600000000004</v>
      </c>
      <c r="O293">
        <v>100</v>
      </c>
      <c r="P293">
        <v>100</v>
      </c>
      <c r="Q293">
        <v>349505</v>
      </c>
      <c r="R293">
        <v>98</v>
      </c>
      <c r="S293">
        <v>353420</v>
      </c>
      <c r="T293">
        <v>98</v>
      </c>
      <c r="U293">
        <v>406474</v>
      </c>
      <c r="V293">
        <v>99</v>
      </c>
      <c r="W293">
        <v>79252.320000000007</v>
      </c>
      <c r="X293">
        <v>9.1999999999999993</v>
      </c>
      <c r="Y293">
        <v>22.68</v>
      </c>
      <c r="Z293">
        <v>9.39</v>
      </c>
      <c r="AA293">
        <v>95716.65</v>
      </c>
      <c r="AB293">
        <v>10.38</v>
      </c>
      <c r="AC293">
        <v>27.08</v>
      </c>
      <c r="AD293">
        <v>10.59</v>
      </c>
    </row>
    <row r="294" spans="1:30" x14ac:dyDescent="0.2">
      <c r="A294" t="s">
        <v>30</v>
      </c>
      <c r="B294" t="s">
        <v>1</v>
      </c>
      <c r="C294" t="s">
        <v>2</v>
      </c>
      <c r="D294" t="s">
        <v>89</v>
      </c>
      <c r="E294" t="s">
        <v>165</v>
      </c>
      <c r="F294" t="s">
        <v>1</v>
      </c>
      <c r="G294" t="s">
        <v>32</v>
      </c>
      <c r="I294" t="s">
        <v>38</v>
      </c>
      <c r="J294" t="s">
        <v>40</v>
      </c>
      <c r="L294">
        <v>4911</v>
      </c>
      <c r="M294">
        <v>18</v>
      </c>
      <c r="N294">
        <v>272.83300000000003</v>
      </c>
      <c r="O294">
        <v>49.11</v>
      </c>
      <c r="P294">
        <v>49.11</v>
      </c>
      <c r="Q294">
        <v>400</v>
      </c>
      <c r="R294" t="s">
        <v>33</v>
      </c>
      <c r="S294">
        <v>381</v>
      </c>
      <c r="T294" t="s">
        <v>33</v>
      </c>
      <c r="U294">
        <v>354</v>
      </c>
      <c r="V294" t="s">
        <v>33</v>
      </c>
      <c r="W294">
        <v>159.63</v>
      </c>
      <c r="X294" t="s">
        <v>33</v>
      </c>
      <c r="Y294">
        <v>39.950000000000003</v>
      </c>
      <c r="Z294" t="s">
        <v>33</v>
      </c>
      <c r="AA294">
        <v>149.74</v>
      </c>
      <c r="AB294" t="s">
        <v>33</v>
      </c>
      <c r="AC294">
        <v>39.299999999999997</v>
      </c>
      <c r="AD294" t="s">
        <v>33</v>
      </c>
    </row>
    <row r="295" spans="1:30" x14ac:dyDescent="0.2">
      <c r="A295" t="s">
        <v>30</v>
      </c>
      <c r="B295" t="s">
        <v>1</v>
      </c>
      <c r="C295" t="s">
        <v>2</v>
      </c>
      <c r="D295" t="s">
        <v>89</v>
      </c>
      <c r="E295" t="s">
        <v>165</v>
      </c>
      <c r="F295" t="s">
        <v>1</v>
      </c>
      <c r="G295" t="s">
        <v>32</v>
      </c>
      <c r="I295" t="s">
        <v>38</v>
      </c>
      <c r="J295" t="s">
        <v>41</v>
      </c>
      <c r="L295">
        <v>4911</v>
      </c>
      <c r="M295">
        <v>18</v>
      </c>
      <c r="N295">
        <v>272.83300000000003</v>
      </c>
      <c r="O295">
        <v>49.11</v>
      </c>
      <c r="P295">
        <v>49.11</v>
      </c>
      <c r="Q295">
        <v>798</v>
      </c>
      <c r="R295" t="s">
        <v>33</v>
      </c>
      <c r="S295">
        <v>694</v>
      </c>
      <c r="T295" t="s">
        <v>33</v>
      </c>
      <c r="U295">
        <v>583</v>
      </c>
      <c r="V295" t="s">
        <v>33</v>
      </c>
      <c r="W295">
        <v>539.49</v>
      </c>
      <c r="X295" t="s">
        <v>33</v>
      </c>
      <c r="Y295">
        <v>67.599999999999994</v>
      </c>
      <c r="Z295" t="s">
        <v>33</v>
      </c>
      <c r="AA295">
        <v>348.41</v>
      </c>
      <c r="AB295" t="s">
        <v>33</v>
      </c>
      <c r="AC295">
        <v>50.2</v>
      </c>
      <c r="AD295" t="s">
        <v>33</v>
      </c>
    </row>
    <row r="296" spans="1:30" x14ac:dyDescent="0.2">
      <c r="A296" t="s">
        <v>30</v>
      </c>
      <c r="B296" t="s">
        <v>1</v>
      </c>
      <c r="C296" t="s">
        <v>2</v>
      </c>
      <c r="D296" t="s">
        <v>90</v>
      </c>
      <c r="E296" t="s">
        <v>166</v>
      </c>
      <c r="F296" t="s">
        <v>1</v>
      </c>
      <c r="G296" t="s">
        <v>32</v>
      </c>
      <c r="H296" t="s">
        <v>33</v>
      </c>
      <c r="I296" t="s">
        <v>34</v>
      </c>
      <c r="J296" t="s">
        <v>33</v>
      </c>
      <c r="K296" t="s">
        <v>33</v>
      </c>
      <c r="L296">
        <v>10000</v>
      </c>
      <c r="M296">
        <v>2</v>
      </c>
      <c r="N296">
        <v>5000</v>
      </c>
      <c r="O296">
        <v>100</v>
      </c>
      <c r="P296">
        <v>100</v>
      </c>
      <c r="Q296" t="s">
        <v>33</v>
      </c>
      <c r="R296" t="s">
        <v>33</v>
      </c>
      <c r="S296" t="s">
        <v>33</v>
      </c>
      <c r="T296" t="s">
        <v>33</v>
      </c>
      <c r="U296" t="s">
        <v>33</v>
      </c>
      <c r="V296" t="s">
        <v>33</v>
      </c>
      <c r="W296" t="s">
        <v>33</v>
      </c>
      <c r="X296" t="s">
        <v>33</v>
      </c>
      <c r="Y296" t="s">
        <v>33</v>
      </c>
      <c r="Z296" t="s">
        <v>33</v>
      </c>
      <c r="AA296" t="s">
        <v>33</v>
      </c>
      <c r="AB296" t="s">
        <v>33</v>
      </c>
      <c r="AC296" t="s">
        <v>33</v>
      </c>
      <c r="AD296" t="s">
        <v>33</v>
      </c>
    </row>
    <row r="297" spans="1:30" x14ac:dyDescent="0.2">
      <c r="A297" t="s">
        <v>30</v>
      </c>
      <c r="B297" t="s">
        <v>1</v>
      </c>
      <c r="C297" t="s">
        <v>2</v>
      </c>
      <c r="D297" t="s">
        <v>90</v>
      </c>
      <c r="E297" t="s">
        <v>166</v>
      </c>
      <c r="F297" t="s">
        <v>1</v>
      </c>
      <c r="G297" t="s">
        <v>32</v>
      </c>
      <c r="I297" t="s">
        <v>35</v>
      </c>
      <c r="J297" t="s">
        <v>36</v>
      </c>
      <c r="K297" t="s">
        <v>37</v>
      </c>
      <c r="L297">
        <v>10000</v>
      </c>
      <c r="M297">
        <v>2</v>
      </c>
      <c r="N297">
        <v>5000</v>
      </c>
      <c r="O297">
        <v>100</v>
      </c>
      <c r="P297">
        <v>100</v>
      </c>
      <c r="Q297">
        <v>324996</v>
      </c>
      <c r="R297">
        <v>88442</v>
      </c>
      <c r="S297">
        <v>322274</v>
      </c>
      <c r="T297">
        <v>84827</v>
      </c>
      <c r="U297">
        <v>265096</v>
      </c>
      <c r="V297">
        <v>72659</v>
      </c>
      <c r="W297">
        <v>76895.02</v>
      </c>
      <c r="X297">
        <v>29511.1</v>
      </c>
      <c r="Y297">
        <v>23.66</v>
      </c>
      <c r="Z297">
        <v>33.369999999999997</v>
      </c>
      <c r="AA297">
        <v>88233.23</v>
      </c>
      <c r="AB297">
        <v>27760.2</v>
      </c>
      <c r="AC297">
        <v>27.38</v>
      </c>
      <c r="AD297">
        <v>32.729999999999997</v>
      </c>
    </row>
    <row r="298" spans="1:30" x14ac:dyDescent="0.2">
      <c r="A298" t="s">
        <v>30</v>
      </c>
      <c r="B298" t="s">
        <v>1</v>
      </c>
      <c r="C298" t="s">
        <v>2</v>
      </c>
      <c r="D298" t="s">
        <v>90</v>
      </c>
      <c r="E298" t="s">
        <v>166</v>
      </c>
      <c r="F298" t="s">
        <v>1</v>
      </c>
      <c r="G298" t="s">
        <v>32</v>
      </c>
      <c r="I298" t="s">
        <v>38</v>
      </c>
      <c r="J298" t="s">
        <v>36</v>
      </c>
      <c r="K298" t="s">
        <v>39</v>
      </c>
      <c r="L298">
        <v>5428</v>
      </c>
      <c r="M298">
        <v>2</v>
      </c>
      <c r="N298">
        <v>2714</v>
      </c>
      <c r="O298">
        <v>54.28</v>
      </c>
      <c r="P298">
        <v>54.28</v>
      </c>
      <c r="Q298">
        <v>324656</v>
      </c>
      <c r="R298">
        <v>89</v>
      </c>
      <c r="S298">
        <v>321418</v>
      </c>
      <c r="T298">
        <v>89</v>
      </c>
      <c r="U298">
        <v>277381</v>
      </c>
      <c r="V298">
        <v>84</v>
      </c>
      <c r="W298">
        <v>77109.149999999994</v>
      </c>
      <c r="X298">
        <v>6.83</v>
      </c>
      <c r="Y298">
        <v>23.75</v>
      </c>
      <c r="Z298">
        <v>7.65</v>
      </c>
      <c r="AA298">
        <v>87921.14</v>
      </c>
      <c r="AB298">
        <v>7.41</v>
      </c>
      <c r="AC298">
        <v>27.35</v>
      </c>
      <c r="AD298">
        <v>8.33</v>
      </c>
    </row>
    <row r="299" spans="1:30" x14ac:dyDescent="0.2">
      <c r="A299" t="s">
        <v>30</v>
      </c>
      <c r="B299" t="s">
        <v>1</v>
      </c>
      <c r="C299" t="s">
        <v>2</v>
      </c>
      <c r="D299" t="s">
        <v>90</v>
      </c>
      <c r="E299" t="s">
        <v>166</v>
      </c>
      <c r="F299" t="s">
        <v>1</v>
      </c>
      <c r="G299" t="s">
        <v>32</v>
      </c>
      <c r="I299" t="s">
        <v>35</v>
      </c>
      <c r="J299" t="s">
        <v>36</v>
      </c>
      <c r="K299" t="s">
        <v>39</v>
      </c>
      <c r="L299">
        <v>10000</v>
      </c>
      <c r="M299">
        <v>2</v>
      </c>
      <c r="N299">
        <v>5000</v>
      </c>
      <c r="O299">
        <v>100</v>
      </c>
      <c r="P299">
        <v>100</v>
      </c>
      <c r="Q299">
        <v>324996</v>
      </c>
      <c r="R299">
        <v>96</v>
      </c>
      <c r="S299">
        <v>322274</v>
      </c>
      <c r="T299">
        <v>95</v>
      </c>
      <c r="U299">
        <v>265096</v>
      </c>
      <c r="V299">
        <v>97</v>
      </c>
      <c r="W299">
        <v>76895.02</v>
      </c>
      <c r="X299">
        <v>9.91</v>
      </c>
      <c r="Y299">
        <v>23.66</v>
      </c>
      <c r="Z299">
        <v>10.36</v>
      </c>
      <c r="AA299">
        <v>88233.23</v>
      </c>
      <c r="AB299">
        <v>10.38</v>
      </c>
      <c r="AC299">
        <v>27.38</v>
      </c>
      <c r="AD299">
        <v>10.92</v>
      </c>
    </row>
    <row r="300" spans="1:30" x14ac:dyDescent="0.2">
      <c r="A300" t="s">
        <v>30</v>
      </c>
      <c r="B300" t="s">
        <v>1</v>
      </c>
      <c r="C300" t="s">
        <v>2</v>
      </c>
      <c r="D300" t="s">
        <v>90</v>
      </c>
      <c r="E300" t="s">
        <v>166</v>
      </c>
      <c r="F300" t="s">
        <v>1</v>
      </c>
      <c r="G300" t="s">
        <v>32</v>
      </c>
      <c r="I300" t="s">
        <v>38</v>
      </c>
      <c r="J300" t="s">
        <v>40</v>
      </c>
      <c r="L300">
        <v>5428</v>
      </c>
      <c r="M300">
        <v>2</v>
      </c>
      <c r="N300">
        <v>2714</v>
      </c>
      <c r="O300">
        <v>54.28</v>
      </c>
      <c r="P300">
        <v>54.28</v>
      </c>
      <c r="Q300">
        <v>171</v>
      </c>
      <c r="R300" t="s">
        <v>33</v>
      </c>
      <c r="S300">
        <v>161</v>
      </c>
      <c r="T300" t="s">
        <v>33</v>
      </c>
      <c r="U300">
        <v>195</v>
      </c>
      <c r="V300" t="s">
        <v>33</v>
      </c>
      <c r="W300">
        <v>69.260000000000005</v>
      </c>
      <c r="X300" t="s">
        <v>33</v>
      </c>
      <c r="Y300">
        <v>40.51</v>
      </c>
      <c r="Z300" t="s">
        <v>33</v>
      </c>
      <c r="AA300">
        <v>66.72</v>
      </c>
      <c r="AB300" t="s">
        <v>33</v>
      </c>
      <c r="AC300">
        <v>41.44</v>
      </c>
      <c r="AD300" t="s">
        <v>33</v>
      </c>
    </row>
    <row r="301" spans="1:30" x14ac:dyDescent="0.2">
      <c r="A301" t="s">
        <v>30</v>
      </c>
      <c r="B301" t="s">
        <v>1</v>
      </c>
      <c r="C301" t="s">
        <v>2</v>
      </c>
      <c r="D301" t="s">
        <v>90</v>
      </c>
      <c r="E301" t="s">
        <v>166</v>
      </c>
      <c r="F301" t="s">
        <v>1</v>
      </c>
      <c r="G301" t="s">
        <v>32</v>
      </c>
      <c r="I301" t="s">
        <v>38</v>
      </c>
      <c r="J301" t="s">
        <v>41</v>
      </c>
      <c r="L301">
        <v>5428</v>
      </c>
      <c r="M301">
        <v>2</v>
      </c>
      <c r="N301">
        <v>2714</v>
      </c>
      <c r="O301">
        <v>54.28</v>
      </c>
      <c r="P301">
        <v>54.28</v>
      </c>
      <c r="Q301">
        <v>205</v>
      </c>
      <c r="R301" t="s">
        <v>33</v>
      </c>
      <c r="S301">
        <v>177</v>
      </c>
      <c r="T301" t="s">
        <v>33</v>
      </c>
      <c r="U301">
        <v>203</v>
      </c>
      <c r="V301" t="s">
        <v>33</v>
      </c>
      <c r="W301">
        <v>129.31</v>
      </c>
      <c r="X301" t="s">
        <v>33</v>
      </c>
      <c r="Y301">
        <v>63.07</v>
      </c>
      <c r="Z301" t="s">
        <v>33</v>
      </c>
      <c r="AA301">
        <v>96.37</v>
      </c>
      <c r="AB301" t="s">
        <v>33</v>
      </c>
      <c r="AC301">
        <v>54.45</v>
      </c>
      <c r="AD301" t="s">
        <v>33</v>
      </c>
    </row>
    <row r="302" spans="1:30" x14ac:dyDescent="0.2">
      <c r="A302" t="s">
        <v>30</v>
      </c>
      <c r="B302" t="s">
        <v>1</v>
      </c>
      <c r="C302" t="s">
        <v>2</v>
      </c>
      <c r="D302" t="s">
        <v>91</v>
      </c>
      <c r="E302" t="s">
        <v>167</v>
      </c>
      <c r="F302" t="s">
        <v>1</v>
      </c>
      <c r="G302" t="s">
        <v>32</v>
      </c>
      <c r="H302" t="s">
        <v>33</v>
      </c>
      <c r="I302" t="s">
        <v>34</v>
      </c>
      <c r="J302" t="s">
        <v>33</v>
      </c>
      <c r="K302" t="s">
        <v>33</v>
      </c>
      <c r="L302">
        <v>10000</v>
      </c>
      <c r="M302">
        <v>2</v>
      </c>
      <c r="N302">
        <v>5000</v>
      </c>
      <c r="O302">
        <v>100</v>
      </c>
      <c r="P302">
        <v>100</v>
      </c>
      <c r="Q302" t="s">
        <v>33</v>
      </c>
      <c r="R302" t="s">
        <v>33</v>
      </c>
      <c r="S302" t="s">
        <v>33</v>
      </c>
      <c r="T302" t="s">
        <v>33</v>
      </c>
      <c r="U302" t="s">
        <v>33</v>
      </c>
      <c r="V302" t="s">
        <v>33</v>
      </c>
      <c r="W302" t="s">
        <v>33</v>
      </c>
      <c r="X302" t="s">
        <v>33</v>
      </c>
      <c r="Y302" t="s">
        <v>33</v>
      </c>
      <c r="Z302" t="s">
        <v>33</v>
      </c>
      <c r="AA302" t="s">
        <v>33</v>
      </c>
      <c r="AB302" t="s">
        <v>33</v>
      </c>
      <c r="AC302" t="s">
        <v>33</v>
      </c>
      <c r="AD302" t="s">
        <v>33</v>
      </c>
    </row>
    <row r="303" spans="1:30" x14ac:dyDescent="0.2">
      <c r="A303" t="s">
        <v>30</v>
      </c>
      <c r="B303" t="s">
        <v>1</v>
      </c>
      <c r="C303" t="s">
        <v>2</v>
      </c>
      <c r="D303" t="s">
        <v>91</v>
      </c>
      <c r="E303" t="s">
        <v>167</v>
      </c>
      <c r="F303" t="s">
        <v>1</v>
      </c>
      <c r="G303" t="s">
        <v>32</v>
      </c>
      <c r="I303" t="s">
        <v>35</v>
      </c>
      <c r="J303" t="s">
        <v>36</v>
      </c>
      <c r="K303" t="s">
        <v>37</v>
      </c>
      <c r="L303">
        <v>10000</v>
      </c>
      <c r="M303">
        <v>2</v>
      </c>
      <c r="N303">
        <v>5000</v>
      </c>
      <c r="O303">
        <v>100</v>
      </c>
      <c r="P303">
        <v>100</v>
      </c>
      <c r="Q303">
        <v>326167</v>
      </c>
      <c r="R303">
        <v>87212</v>
      </c>
      <c r="S303">
        <v>323047</v>
      </c>
      <c r="T303">
        <v>82989</v>
      </c>
      <c r="U303">
        <v>248915</v>
      </c>
      <c r="V303">
        <v>74805</v>
      </c>
      <c r="W303">
        <v>78443.03</v>
      </c>
      <c r="X303">
        <v>29820.560000000001</v>
      </c>
      <c r="Y303">
        <v>24.05</v>
      </c>
      <c r="Z303">
        <v>34.19</v>
      </c>
      <c r="AA303">
        <v>94935.32</v>
      </c>
      <c r="AB303">
        <v>28092.3</v>
      </c>
      <c r="AC303">
        <v>29.39</v>
      </c>
      <c r="AD303">
        <v>33.85</v>
      </c>
    </row>
    <row r="304" spans="1:30" x14ac:dyDescent="0.2">
      <c r="A304" t="s">
        <v>30</v>
      </c>
      <c r="B304" t="s">
        <v>1</v>
      </c>
      <c r="C304" t="s">
        <v>2</v>
      </c>
      <c r="D304" t="s">
        <v>91</v>
      </c>
      <c r="E304" t="s">
        <v>167</v>
      </c>
      <c r="F304" t="s">
        <v>1</v>
      </c>
      <c r="G304" t="s">
        <v>32</v>
      </c>
      <c r="I304" t="s">
        <v>38</v>
      </c>
      <c r="J304" t="s">
        <v>36</v>
      </c>
      <c r="K304" t="s">
        <v>39</v>
      </c>
      <c r="L304">
        <v>5702</v>
      </c>
      <c r="M304">
        <v>2</v>
      </c>
      <c r="N304">
        <v>2851</v>
      </c>
      <c r="O304">
        <v>57.02</v>
      </c>
      <c r="P304">
        <v>57.02</v>
      </c>
      <c r="Q304">
        <v>321635</v>
      </c>
      <c r="R304">
        <v>90</v>
      </c>
      <c r="S304">
        <v>316314</v>
      </c>
      <c r="T304">
        <v>90</v>
      </c>
      <c r="U304">
        <v>249025</v>
      </c>
      <c r="V304">
        <v>89</v>
      </c>
      <c r="W304">
        <v>79027.759999999995</v>
      </c>
      <c r="X304">
        <v>7</v>
      </c>
      <c r="Y304">
        <v>24.57</v>
      </c>
      <c r="Z304">
        <v>7.76</v>
      </c>
      <c r="AA304">
        <v>94799.67</v>
      </c>
      <c r="AB304">
        <v>7.41</v>
      </c>
      <c r="AC304">
        <v>29.97</v>
      </c>
      <c r="AD304">
        <v>8.24</v>
      </c>
    </row>
    <row r="305" spans="1:30" x14ac:dyDescent="0.2">
      <c r="A305" t="s">
        <v>30</v>
      </c>
      <c r="B305" t="s">
        <v>1</v>
      </c>
      <c r="C305" t="s">
        <v>2</v>
      </c>
      <c r="D305" t="s">
        <v>91</v>
      </c>
      <c r="E305" t="s">
        <v>167</v>
      </c>
      <c r="F305" t="s">
        <v>1</v>
      </c>
      <c r="G305" t="s">
        <v>32</v>
      </c>
      <c r="I305" t="s">
        <v>35</v>
      </c>
      <c r="J305" t="s">
        <v>36</v>
      </c>
      <c r="K305" t="s">
        <v>39</v>
      </c>
      <c r="L305">
        <v>10000</v>
      </c>
      <c r="M305">
        <v>2</v>
      </c>
      <c r="N305">
        <v>5000</v>
      </c>
      <c r="O305">
        <v>100</v>
      </c>
      <c r="P305">
        <v>100</v>
      </c>
      <c r="Q305">
        <v>326167</v>
      </c>
      <c r="R305">
        <v>96</v>
      </c>
      <c r="S305">
        <v>323047</v>
      </c>
      <c r="T305">
        <v>96</v>
      </c>
      <c r="U305">
        <v>248915</v>
      </c>
      <c r="V305">
        <v>97</v>
      </c>
      <c r="W305">
        <v>78443.03</v>
      </c>
      <c r="X305">
        <v>9.98</v>
      </c>
      <c r="Y305">
        <v>24.05</v>
      </c>
      <c r="Z305">
        <v>10.35</v>
      </c>
      <c r="AA305">
        <v>94935.32</v>
      </c>
      <c r="AB305">
        <v>11.86</v>
      </c>
      <c r="AC305">
        <v>29.39</v>
      </c>
      <c r="AD305">
        <v>12.35</v>
      </c>
    </row>
    <row r="306" spans="1:30" x14ac:dyDescent="0.2">
      <c r="A306" t="s">
        <v>30</v>
      </c>
      <c r="B306" t="s">
        <v>1</v>
      </c>
      <c r="C306" t="s">
        <v>2</v>
      </c>
      <c r="D306" t="s">
        <v>91</v>
      </c>
      <c r="E306" t="s">
        <v>167</v>
      </c>
      <c r="F306" t="s">
        <v>1</v>
      </c>
      <c r="G306" t="s">
        <v>32</v>
      </c>
      <c r="I306" t="s">
        <v>38</v>
      </c>
      <c r="J306" t="s">
        <v>40</v>
      </c>
      <c r="L306">
        <v>5702</v>
      </c>
      <c r="M306">
        <v>2</v>
      </c>
      <c r="N306">
        <v>2851</v>
      </c>
      <c r="O306">
        <v>57.02</v>
      </c>
      <c r="P306">
        <v>57.02</v>
      </c>
      <c r="Q306">
        <v>170</v>
      </c>
      <c r="R306" t="s">
        <v>33</v>
      </c>
      <c r="S306">
        <v>160</v>
      </c>
      <c r="T306" t="s">
        <v>33</v>
      </c>
      <c r="U306">
        <v>180</v>
      </c>
      <c r="V306" t="s">
        <v>33</v>
      </c>
      <c r="W306">
        <v>70.180000000000007</v>
      </c>
      <c r="X306" t="s">
        <v>33</v>
      </c>
      <c r="Y306">
        <v>41.28</v>
      </c>
      <c r="Z306" t="s">
        <v>33</v>
      </c>
      <c r="AA306">
        <v>65.23</v>
      </c>
      <c r="AB306" t="s">
        <v>33</v>
      </c>
      <c r="AC306">
        <v>40.770000000000003</v>
      </c>
      <c r="AD306" t="s">
        <v>33</v>
      </c>
    </row>
    <row r="307" spans="1:30" x14ac:dyDescent="0.2">
      <c r="A307" t="s">
        <v>30</v>
      </c>
      <c r="B307" t="s">
        <v>1</v>
      </c>
      <c r="C307" t="s">
        <v>2</v>
      </c>
      <c r="D307" t="s">
        <v>91</v>
      </c>
      <c r="E307" t="s">
        <v>167</v>
      </c>
      <c r="F307" t="s">
        <v>1</v>
      </c>
      <c r="G307" t="s">
        <v>32</v>
      </c>
      <c r="I307" t="s">
        <v>38</v>
      </c>
      <c r="J307" t="s">
        <v>41</v>
      </c>
      <c r="L307">
        <v>5702</v>
      </c>
      <c r="M307">
        <v>2</v>
      </c>
      <c r="N307">
        <v>2851</v>
      </c>
      <c r="O307">
        <v>57.02</v>
      </c>
      <c r="P307">
        <v>57.02</v>
      </c>
      <c r="Q307">
        <v>270</v>
      </c>
      <c r="R307" t="s">
        <v>33</v>
      </c>
      <c r="S307">
        <v>237</v>
      </c>
      <c r="T307" t="s">
        <v>33</v>
      </c>
      <c r="U307">
        <v>309</v>
      </c>
      <c r="V307" t="s">
        <v>33</v>
      </c>
      <c r="W307">
        <v>162.11000000000001</v>
      </c>
      <c r="X307" t="s">
        <v>33</v>
      </c>
      <c r="Y307">
        <v>59.97</v>
      </c>
      <c r="Z307" t="s">
        <v>33</v>
      </c>
      <c r="AA307">
        <v>126.76</v>
      </c>
      <c r="AB307" t="s">
        <v>33</v>
      </c>
      <c r="AC307">
        <v>53.49</v>
      </c>
      <c r="AD307" t="s">
        <v>33</v>
      </c>
    </row>
    <row r="308" spans="1:30" x14ac:dyDescent="0.2">
      <c r="A308" t="s">
        <v>30</v>
      </c>
      <c r="B308" t="s">
        <v>1</v>
      </c>
      <c r="C308" t="s">
        <v>2</v>
      </c>
      <c r="D308" t="s">
        <v>92</v>
      </c>
      <c r="E308" t="s">
        <v>168</v>
      </c>
      <c r="F308" t="s">
        <v>1</v>
      </c>
      <c r="G308" t="s">
        <v>32</v>
      </c>
      <c r="H308" t="s">
        <v>33</v>
      </c>
      <c r="I308" t="s">
        <v>34</v>
      </c>
      <c r="J308" t="s">
        <v>33</v>
      </c>
      <c r="K308" t="s">
        <v>33</v>
      </c>
      <c r="L308">
        <v>10000</v>
      </c>
      <c r="M308">
        <v>3</v>
      </c>
      <c r="N308">
        <v>3333.3330000000001</v>
      </c>
      <c r="O308">
        <v>100</v>
      </c>
      <c r="P308">
        <v>100</v>
      </c>
      <c r="Q308" t="s">
        <v>33</v>
      </c>
      <c r="R308" t="s">
        <v>33</v>
      </c>
      <c r="S308" t="s">
        <v>33</v>
      </c>
      <c r="T308" t="s">
        <v>33</v>
      </c>
      <c r="U308" t="s">
        <v>33</v>
      </c>
      <c r="V308" t="s">
        <v>33</v>
      </c>
      <c r="W308" t="s">
        <v>33</v>
      </c>
      <c r="X308" t="s">
        <v>33</v>
      </c>
      <c r="Y308" t="s">
        <v>33</v>
      </c>
      <c r="Z308" t="s">
        <v>33</v>
      </c>
      <c r="AA308" t="s">
        <v>33</v>
      </c>
      <c r="AB308" t="s">
        <v>33</v>
      </c>
      <c r="AC308" t="s">
        <v>33</v>
      </c>
      <c r="AD308" t="s">
        <v>33</v>
      </c>
    </row>
    <row r="309" spans="1:30" x14ac:dyDescent="0.2">
      <c r="A309" t="s">
        <v>30</v>
      </c>
      <c r="B309" t="s">
        <v>1</v>
      </c>
      <c r="C309" t="s">
        <v>2</v>
      </c>
      <c r="D309" t="s">
        <v>92</v>
      </c>
      <c r="E309" t="s">
        <v>168</v>
      </c>
      <c r="F309" t="s">
        <v>1</v>
      </c>
      <c r="G309" t="s">
        <v>32</v>
      </c>
      <c r="I309" t="s">
        <v>35</v>
      </c>
      <c r="J309" t="s">
        <v>36</v>
      </c>
      <c r="K309" t="s">
        <v>37</v>
      </c>
      <c r="L309">
        <v>10000</v>
      </c>
      <c r="M309">
        <v>3</v>
      </c>
      <c r="N309">
        <v>3333.3330000000001</v>
      </c>
      <c r="O309">
        <v>100</v>
      </c>
      <c r="P309">
        <v>100</v>
      </c>
      <c r="Q309">
        <v>321912</v>
      </c>
      <c r="R309">
        <v>86456</v>
      </c>
      <c r="S309">
        <v>319398</v>
      </c>
      <c r="T309">
        <v>82420</v>
      </c>
      <c r="U309">
        <v>259246</v>
      </c>
      <c r="V309">
        <v>74685</v>
      </c>
      <c r="W309">
        <v>77359.25</v>
      </c>
      <c r="X309">
        <v>29496.63</v>
      </c>
      <c r="Y309">
        <v>24.03</v>
      </c>
      <c r="Z309">
        <v>34.119999999999997</v>
      </c>
      <c r="AA309">
        <v>93053.9</v>
      </c>
      <c r="AB309">
        <v>28299.87</v>
      </c>
      <c r="AC309">
        <v>29.13</v>
      </c>
      <c r="AD309">
        <v>34.340000000000003</v>
      </c>
    </row>
    <row r="310" spans="1:30" x14ac:dyDescent="0.2">
      <c r="A310" t="s">
        <v>30</v>
      </c>
      <c r="B310" t="s">
        <v>1</v>
      </c>
      <c r="C310" t="s">
        <v>2</v>
      </c>
      <c r="D310" t="s">
        <v>92</v>
      </c>
      <c r="E310" t="s">
        <v>168</v>
      </c>
      <c r="F310" t="s">
        <v>1</v>
      </c>
      <c r="G310" t="s">
        <v>32</v>
      </c>
      <c r="I310" t="s">
        <v>38</v>
      </c>
      <c r="J310" t="s">
        <v>36</v>
      </c>
      <c r="K310" t="s">
        <v>39</v>
      </c>
      <c r="L310">
        <v>5116</v>
      </c>
      <c r="M310">
        <v>3</v>
      </c>
      <c r="N310">
        <v>1705.3330000000001</v>
      </c>
      <c r="O310">
        <v>51.16</v>
      </c>
      <c r="P310">
        <v>51.16</v>
      </c>
      <c r="Q310">
        <v>321421</v>
      </c>
      <c r="R310">
        <v>90</v>
      </c>
      <c r="S310">
        <v>318065</v>
      </c>
      <c r="T310">
        <v>89</v>
      </c>
      <c r="U310">
        <v>259184</v>
      </c>
      <c r="V310">
        <v>89</v>
      </c>
      <c r="W310">
        <v>77698.509999999995</v>
      </c>
      <c r="X310">
        <v>6.79</v>
      </c>
      <c r="Y310">
        <v>24.17</v>
      </c>
      <c r="Z310">
        <v>7.55</v>
      </c>
      <c r="AA310">
        <v>92437.88</v>
      </c>
      <c r="AB310">
        <v>7.41</v>
      </c>
      <c r="AC310">
        <v>29.06</v>
      </c>
      <c r="AD310">
        <v>8.33</v>
      </c>
    </row>
    <row r="311" spans="1:30" x14ac:dyDescent="0.2">
      <c r="A311" t="s">
        <v>30</v>
      </c>
      <c r="B311" t="s">
        <v>1</v>
      </c>
      <c r="C311" t="s">
        <v>2</v>
      </c>
      <c r="D311" t="s">
        <v>92</v>
      </c>
      <c r="E311" t="s">
        <v>168</v>
      </c>
      <c r="F311" t="s">
        <v>1</v>
      </c>
      <c r="G311" t="s">
        <v>32</v>
      </c>
      <c r="I311" t="s">
        <v>35</v>
      </c>
      <c r="J311" t="s">
        <v>36</v>
      </c>
      <c r="K311" t="s">
        <v>39</v>
      </c>
      <c r="L311">
        <v>10000</v>
      </c>
      <c r="M311">
        <v>3</v>
      </c>
      <c r="N311">
        <v>3333.3330000000001</v>
      </c>
      <c r="O311">
        <v>100</v>
      </c>
      <c r="P311">
        <v>100</v>
      </c>
      <c r="Q311">
        <v>321912</v>
      </c>
      <c r="R311">
        <v>96</v>
      </c>
      <c r="S311">
        <v>319398</v>
      </c>
      <c r="T311">
        <v>96</v>
      </c>
      <c r="U311">
        <v>259246</v>
      </c>
      <c r="V311">
        <v>97</v>
      </c>
      <c r="W311">
        <v>77359.25</v>
      </c>
      <c r="X311">
        <v>9.75</v>
      </c>
      <c r="Y311">
        <v>24.03</v>
      </c>
      <c r="Z311">
        <v>10.130000000000001</v>
      </c>
      <c r="AA311">
        <v>93053.9</v>
      </c>
      <c r="AB311">
        <v>10.38</v>
      </c>
      <c r="AC311">
        <v>29.13</v>
      </c>
      <c r="AD311">
        <v>10.81</v>
      </c>
    </row>
    <row r="312" spans="1:30" x14ac:dyDescent="0.2">
      <c r="A312" t="s">
        <v>30</v>
      </c>
      <c r="B312" t="s">
        <v>1</v>
      </c>
      <c r="C312" t="s">
        <v>2</v>
      </c>
      <c r="D312" t="s">
        <v>92</v>
      </c>
      <c r="E312" t="s">
        <v>168</v>
      </c>
      <c r="F312" t="s">
        <v>1</v>
      </c>
      <c r="G312" t="s">
        <v>32</v>
      </c>
      <c r="I312" t="s">
        <v>38</v>
      </c>
      <c r="J312" t="s">
        <v>40</v>
      </c>
      <c r="L312">
        <v>5116</v>
      </c>
      <c r="M312">
        <v>3</v>
      </c>
      <c r="N312">
        <v>1705.3330000000001</v>
      </c>
      <c r="O312">
        <v>51.16</v>
      </c>
      <c r="P312">
        <v>51.16</v>
      </c>
      <c r="Q312">
        <v>170</v>
      </c>
      <c r="R312" t="s">
        <v>33</v>
      </c>
      <c r="S312">
        <v>159</v>
      </c>
      <c r="T312" t="s">
        <v>33</v>
      </c>
      <c r="U312">
        <v>157</v>
      </c>
      <c r="V312" t="s">
        <v>33</v>
      </c>
      <c r="W312">
        <v>70</v>
      </c>
      <c r="X312" t="s">
        <v>33</v>
      </c>
      <c r="Y312">
        <v>41.19</v>
      </c>
      <c r="Z312" t="s">
        <v>33</v>
      </c>
      <c r="AA312">
        <v>65.23</v>
      </c>
      <c r="AB312" t="s">
        <v>33</v>
      </c>
      <c r="AC312">
        <v>41.03</v>
      </c>
      <c r="AD312" t="s">
        <v>33</v>
      </c>
    </row>
    <row r="313" spans="1:30" x14ac:dyDescent="0.2">
      <c r="A313" t="s">
        <v>30</v>
      </c>
      <c r="B313" t="s">
        <v>1</v>
      </c>
      <c r="C313" t="s">
        <v>2</v>
      </c>
      <c r="D313" t="s">
        <v>92</v>
      </c>
      <c r="E313" t="s">
        <v>168</v>
      </c>
      <c r="F313" t="s">
        <v>1</v>
      </c>
      <c r="G313" t="s">
        <v>32</v>
      </c>
      <c r="I313" t="s">
        <v>38</v>
      </c>
      <c r="J313" t="s">
        <v>41</v>
      </c>
      <c r="L313">
        <v>5116</v>
      </c>
      <c r="M313">
        <v>3</v>
      </c>
      <c r="N313">
        <v>1705.3330000000001</v>
      </c>
      <c r="O313">
        <v>51.16</v>
      </c>
      <c r="P313">
        <v>51.16</v>
      </c>
      <c r="Q313">
        <v>267</v>
      </c>
      <c r="R313" t="s">
        <v>33</v>
      </c>
      <c r="S313">
        <v>232</v>
      </c>
      <c r="T313" t="s">
        <v>33</v>
      </c>
      <c r="U313">
        <v>233</v>
      </c>
      <c r="V313" t="s">
        <v>33</v>
      </c>
      <c r="W313">
        <v>159.61000000000001</v>
      </c>
      <c r="X313" t="s">
        <v>33</v>
      </c>
      <c r="Y313">
        <v>59.72</v>
      </c>
      <c r="Z313" t="s">
        <v>33</v>
      </c>
      <c r="AA313">
        <v>124.54</v>
      </c>
      <c r="AB313" t="s">
        <v>33</v>
      </c>
      <c r="AC313">
        <v>53.68</v>
      </c>
      <c r="AD313" t="s">
        <v>33</v>
      </c>
    </row>
    <row r="314" spans="1:30" x14ac:dyDescent="0.2">
      <c r="A314" t="s">
        <v>30</v>
      </c>
      <c r="B314" t="s">
        <v>1</v>
      </c>
      <c r="C314" t="s">
        <v>2</v>
      </c>
      <c r="D314" t="s">
        <v>93</v>
      </c>
      <c r="E314" t="s">
        <v>169</v>
      </c>
      <c r="F314" t="s">
        <v>1</v>
      </c>
      <c r="G314" t="s">
        <v>32</v>
      </c>
      <c r="H314" t="s">
        <v>33</v>
      </c>
      <c r="I314" t="s">
        <v>34</v>
      </c>
      <c r="J314" t="s">
        <v>33</v>
      </c>
      <c r="K314" t="s">
        <v>33</v>
      </c>
      <c r="L314">
        <v>10000</v>
      </c>
      <c r="M314">
        <v>2</v>
      </c>
      <c r="N314">
        <v>5000</v>
      </c>
      <c r="O314">
        <v>100</v>
      </c>
      <c r="P314">
        <v>100</v>
      </c>
      <c r="Q314" t="s">
        <v>33</v>
      </c>
      <c r="R314" t="s">
        <v>33</v>
      </c>
      <c r="S314" t="s">
        <v>33</v>
      </c>
      <c r="T314" t="s">
        <v>33</v>
      </c>
      <c r="U314" t="s">
        <v>33</v>
      </c>
      <c r="V314" t="s">
        <v>33</v>
      </c>
      <c r="W314" t="s">
        <v>33</v>
      </c>
      <c r="X314" t="s">
        <v>33</v>
      </c>
      <c r="Y314" t="s">
        <v>33</v>
      </c>
      <c r="Z314" t="s">
        <v>33</v>
      </c>
      <c r="AA314" t="s">
        <v>33</v>
      </c>
      <c r="AB314" t="s">
        <v>33</v>
      </c>
      <c r="AC314" t="s">
        <v>33</v>
      </c>
      <c r="AD314" t="s">
        <v>33</v>
      </c>
    </row>
    <row r="315" spans="1:30" x14ac:dyDescent="0.2">
      <c r="A315" t="s">
        <v>30</v>
      </c>
      <c r="B315" t="s">
        <v>1</v>
      </c>
      <c r="C315" t="s">
        <v>2</v>
      </c>
      <c r="D315" t="s">
        <v>93</v>
      </c>
      <c r="E315" t="s">
        <v>169</v>
      </c>
      <c r="F315" t="s">
        <v>1</v>
      </c>
      <c r="G315" t="s">
        <v>32</v>
      </c>
      <c r="I315" t="s">
        <v>35</v>
      </c>
      <c r="J315" t="s">
        <v>36</v>
      </c>
      <c r="K315" t="s">
        <v>37</v>
      </c>
      <c r="L315">
        <v>10000</v>
      </c>
      <c r="M315">
        <v>2</v>
      </c>
      <c r="N315">
        <v>5000</v>
      </c>
      <c r="O315">
        <v>100</v>
      </c>
      <c r="P315">
        <v>100</v>
      </c>
      <c r="Q315">
        <v>323144</v>
      </c>
      <c r="R315">
        <v>86800</v>
      </c>
      <c r="S315">
        <v>319409</v>
      </c>
      <c r="T315">
        <v>82001</v>
      </c>
      <c r="U315">
        <v>256955</v>
      </c>
      <c r="V315">
        <v>70727</v>
      </c>
      <c r="W315">
        <v>78554.91</v>
      </c>
      <c r="X315">
        <v>29907.99</v>
      </c>
      <c r="Y315">
        <v>24.31</v>
      </c>
      <c r="Z315">
        <v>34.46</v>
      </c>
      <c r="AA315">
        <v>93916.04</v>
      </c>
      <c r="AB315">
        <v>27942.560000000001</v>
      </c>
      <c r="AC315">
        <v>29.4</v>
      </c>
      <c r="AD315">
        <v>34.08</v>
      </c>
    </row>
    <row r="316" spans="1:30" x14ac:dyDescent="0.2">
      <c r="A316" t="s">
        <v>30</v>
      </c>
      <c r="B316" t="s">
        <v>1</v>
      </c>
      <c r="C316" t="s">
        <v>2</v>
      </c>
      <c r="D316" t="s">
        <v>93</v>
      </c>
      <c r="E316" t="s">
        <v>169</v>
      </c>
      <c r="F316" t="s">
        <v>1</v>
      </c>
      <c r="G316" t="s">
        <v>32</v>
      </c>
      <c r="I316" t="s">
        <v>38</v>
      </c>
      <c r="J316" t="s">
        <v>36</v>
      </c>
      <c r="K316" t="s">
        <v>39</v>
      </c>
      <c r="L316">
        <v>5026</v>
      </c>
      <c r="M316">
        <v>2</v>
      </c>
      <c r="N316">
        <v>2513</v>
      </c>
      <c r="O316">
        <v>50.26</v>
      </c>
      <c r="P316">
        <v>50.26</v>
      </c>
      <c r="Q316">
        <v>324165</v>
      </c>
      <c r="R316">
        <v>90</v>
      </c>
      <c r="S316">
        <v>320114</v>
      </c>
      <c r="T316">
        <v>89</v>
      </c>
      <c r="U316">
        <v>271464</v>
      </c>
      <c r="V316">
        <v>86</v>
      </c>
      <c r="W316">
        <v>79486.28</v>
      </c>
      <c r="X316">
        <v>6.97</v>
      </c>
      <c r="Y316">
        <v>24.52</v>
      </c>
      <c r="Z316">
        <v>7.77</v>
      </c>
      <c r="AA316">
        <v>95581.74</v>
      </c>
      <c r="AB316">
        <v>7.41</v>
      </c>
      <c r="AC316">
        <v>29.86</v>
      </c>
      <c r="AD316">
        <v>8.33</v>
      </c>
    </row>
    <row r="317" spans="1:30" x14ac:dyDescent="0.2">
      <c r="A317" t="s">
        <v>30</v>
      </c>
      <c r="B317" t="s">
        <v>1</v>
      </c>
      <c r="C317" t="s">
        <v>2</v>
      </c>
      <c r="D317" t="s">
        <v>93</v>
      </c>
      <c r="E317" t="s">
        <v>169</v>
      </c>
      <c r="F317" t="s">
        <v>1</v>
      </c>
      <c r="G317" t="s">
        <v>32</v>
      </c>
      <c r="I317" t="s">
        <v>35</v>
      </c>
      <c r="J317" t="s">
        <v>36</v>
      </c>
      <c r="K317" t="s">
        <v>39</v>
      </c>
      <c r="L317">
        <v>10000</v>
      </c>
      <c r="M317">
        <v>2</v>
      </c>
      <c r="N317">
        <v>5000</v>
      </c>
      <c r="O317">
        <v>100</v>
      </c>
      <c r="P317">
        <v>100</v>
      </c>
      <c r="Q317">
        <v>323144</v>
      </c>
      <c r="R317">
        <v>96</v>
      </c>
      <c r="S317">
        <v>319409</v>
      </c>
      <c r="T317">
        <v>96</v>
      </c>
      <c r="U317">
        <v>256955</v>
      </c>
      <c r="V317">
        <v>98</v>
      </c>
      <c r="W317">
        <v>78554.91</v>
      </c>
      <c r="X317">
        <v>9.9600000000000009</v>
      </c>
      <c r="Y317">
        <v>24.31</v>
      </c>
      <c r="Z317">
        <v>10.32</v>
      </c>
      <c r="AA317">
        <v>93916.04</v>
      </c>
      <c r="AB317">
        <v>10.38</v>
      </c>
      <c r="AC317">
        <v>29.4</v>
      </c>
      <c r="AD317">
        <v>10.81</v>
      </c>
    </row>
    <row r="318" spans="1:30" x14ac:dyDescent="0.2">
      <c r="A318" t="s">
        <v>30</v>
      </c>
      <c r="B318" t="s">
        <v>1</v>
      </c>
      <c r="C318" t="s">
        <v>2</v>
      </c>
      <c r="D318" t="s">
        <v>93</v>
      </c>
      <c r="E318" t="s">
        <v>169</v>
      </c>
      <c r="F318" t="s">
        <v>1</v>
      </c>
      <c r="G318" t="s">
        <v>32</v>
      </c>
      <c r="I318" t="s">
        <v>38</v>
      </c>
      <c r="J318" t="s">
        <v>40</v>
      </c>
      <c r="L318">
        <v>5026</v>
      </c>
      <c r="M318">
        <v>2</v>
      </c>
      <c r="N318">
        <v>2513</v>
      </c>
      <c r="O318">
        <v>50.26</v>
      </c>
      <c r="P318">
        <v>50.26</v>
      </c>
      <c r="Q318">
        <v>171</v>
      </c>
      <c r="R318" t="s">
        <v>33</v>
      </c>
      <c r="S318">
        <v>161</v>
      </c>
      <c r="T318" t="s">
        <v>33</v>
      </c>
      <c r="U318">
        <v>180</v>
      </c>
      <c r="V318" t="s">
        <v>33</v>
      </c>
      <c r="W318">
        <v>70.459999999999994</v>
      </c>
      <c r="X318" t="s">
        <v>33</v>
      </c>
      <c r="Y318">
        <v>41.1</v>
      </c>
      <c r="Z318" t="s">
        <v>33</v>
      </c>
      <c r="AA318">
        <v>65.23</v>
      </c>
      <c r="AB318" t="s">
        <v>33</v>
      </c>
      <c r="AC318">
        <v>40.520000000000003</v>
      </c>
      <c r="AD318" t="s">
        <v>33</v>
      </c>
    </row>
    <row r="319" spans="1:30" x14ac:dyDescent="0.2">
      <c r="A319" t="s">
        <v>30</v>
      </c>
      <c r="B319" t="s">
        <v>1</v>
      </c>
      <c r="C319" t="s">
        <v>2</v>
      </c>
      <c r="D319" t="s">
        <v>93</v>
      </c>
      <c r="E319" t="s">
        <v>169</v>
      </c>
      <c r="F319" t="s">
        <v>1</v>
      </c>
      <c r="G319" t="s">
        <v>32</v>
      </c>
      <c r="I319" t="s">
        <v>38</v>
      </c>
      <c r="J319" t="s">
        <v>41</v>
      </c>
      <c r="L319">
        <v>5026</v>
      </c>
      <c r="M319">
        <v>2</v>
      </c>
      <c r="N319">
        <v>2513</v>
      </c>
      <c r="O319">
        <v>50.26</v>
      </c>
      <c r="P319">
        <v>50.26</v>
      </c>
      <c r="Q319">
        <v>295</v>
      </c>
      <c r="R319" t="s">
        <v>33</v>
      </c>
      <c r="S319">
        <v>257</v>
      </c>
      <c r="T319" t="s">
        <v>33</v>
      </c>
      <c r="U319">
        <v>255</v>
      </c>
      <c r="V319" t="s">
        <v>33</v>
      </c>
      <c r="W319">
        <v>172.89</v>
      </c>
      <c r="X319" t="s">
        <v>33</v>
      </c>
      <c r="Y319">
        <v>58.53</v>
      </c>
      <c r="Z319" t="s">
        <v>33</v>
      </c>
      <c r="AA319">
        <v>136.4</v>
      </c>
      <c r="AB319" t="s">
        <v>33</v>
      </c>
      <c r="AC319">
        <v>53.07</v>
      </c>
      <c r="AD319" t="s">
        <v>33</v>
      </c>
    </row>
    <row r="320" spans="1:30" x14ac:dyDescent="0.2">
      <c r="A320" t="s">
        <v>30</v>
      </c>
      <c r="B320" t="s">
        <v>1</v>
      </c>
      <c r="C320" t="s">
        <v>2</v>
      </c>
      <c r="D320" t="s">
        <v>94</v>
      </c>
      <c r="E320" t="s">
        <v>170</v>
      </c>
      <c r="F320" t="s">
        <v>1</v>
      </c>
      <c r="G320" t="s">
        <v>32</v>
      </c>
      <c r="H320" t="s">
        <v>33</v>
      </c>
      <c r="I320" t="s">
        <v>34</v>
      </c>
      <c r="J320" t="s">
        <v>33</v>
      </c>
      <c r="K320" t="s">
        <v>33</v>
      </c>
      <c r="L320">
        <v>121</v>
      </c>
      <c r="M320">
        <v>50</v>
      </c>
      <c r="N320">
        <v>2.42</v>
      </c>
      <c r="O320">
        <v>100</v>
      </c>
      <c r="P320">
        <v>100</v>
      </c>
      <c r="Q320" t="s">
        <v>33</v>
      </c>
      <c r="R320" t="s">
        <v>33</v>
      </c>
      <c r="S320" t="s">
        <v>33</v>
      </c>
      <c r="T320" t="s">
        <v>33</v>
      </c>
      <c r="U320" t="s">
        <v>33</v>
      </c>
      <c r="V320" t="s">
        <v>33</v>
      </c>
      <c r="W320" t="s">
        <v>33</v>
      </c>
      <c r="X320" t="s">
        <v>33</v>
      </c>
      <c r="Y320" t="s">
        <v>33</v>
      </c>
      <c r="Z320" t="s">
        <v>33</v>
      </c>
      <c r="AA320" t="s">
        <v>33</v>
      </c>
      <c r="AB320" t="s">
        <v>33</v>
      </c>
      <c r="AC320" t="s">
        <v>33</v>
      </c>
      <c r="AD320" t="s">
        <v>33</v>
      </c>
    </row>
    <row r="321" spans="1:30" x14ac:dyDescent="0.2">
      <c r="A321" t="s">
        <v>30</v>
      </c>
      <c r="B321" t="s">
        <v>1</v>
      </c>
      <c r="C321" t="s">
        <v>2</v>
      </c>
      <c r="D321" t="s">
        <v>94</v>
      </c>
      <c r="E321" t="s">
        <v>170</v>
      </c>
      <c r="F321" t="s">
        <v>1</v>
      </c>
      <c r="G321" t="s">
        <v>32</v>
      </c>
      <c r="I321" t="s">
        <v>35</v>
      </c>
      <c r="J321" t="s">
        <v>36</v>
      </c>
      <c r="K321" t="s">
        <v>37</v>
      </c>
      <c r="L321">
        <v>121</v>
      </c>
      <c r="M321">
        <v>50</v>
      </c>
      <c r="N321">
        <v>2.42</v>
      </c>
      <c r="O321">
        <v>100</v>
      </c>
      <c r="P321">
        <v>100</v>
      </c>
      <c r="Q321">
        <v>293399</v>
      </c>
      <c r="R321">
        <v>76260</v>
      </c>
      <c r="S321">
        <v>283083</v>
      </c>
      <c r="T321">
        <v>73194</v>
      </c>
      <c r="U321">
        <v>267843</v>
      </c>
      <c r="V321">
        <v>58549</v>
      </c>
      <c r="W321">
        <v>85756.160000000003</v>
      </c>
      <c r="X321">
        <v>25753.01</v>
      </c>
      <c r="Y321">
        <v>29.23</v>
      </c>
      <c r="Z321">
        <v>33.770000000000003</v>
      </c>
      <c r="AA321">
        <v>91044.98</v>
      </c>
      <c r="AB321">
        <v>25207.16</v>
      </c>
      <c r="AC321">
        <v>32.159999999999997</v>
      </c>
      <c r="AD321">
        <v>34.44</v>
      </c>
    </row>
    <row r="322" spans="1:30" x14ac:dyDescent="0.2">
      <c r="A322" t="s">
        <v>30</v>
      </c>
      <c r="B322" t="s">
        <v>1</v>
      </c>
      <c r="C322" t="s">
        <v>2</v>
      </c>
      <c r="D322" t="s">
        <v>94</v>
      </c>
      <c r="E322" t="s">
        <v>170</v>
      </c>
      <c r="F322" t="s">
        <v>1</v>
      </c>
      <c r="G322" t="s">
        <v>32</v>
      </c>
      <c r="I322" t="s">
        <v>38</v>
      </c>
      <c r="J322" t="s">
        <v>36</v>
      </c>
      <c r="K322" t="s">
        <v>39</v>
      </c>
      <c r="L322">
        <v>62</v>
      </c>
      <c r="M322">
        <v>50</v>
      </c>
      <c r="N322">
        <v>1.24</v>
      </c>
      <c r="O322">
        <v>51.24</v>
      </c>
      <c r="P322">
        <v>51.24</v>
      </c>
      <c r="Q322">
        <v>307999</v>
      </c>
      <c r="R322">
        <v>90</v>
      </c>
      <c r="S322">
        <v>296211</v>
      </c>
      <c r="T322">
        <v>90</v>
      </c>
      <c r="U322">
        <v>220912</v>
      </c>
      <c r="V322">
        <v>90</v>
      </c>
      <c r="W322">
        <v>79292.87</v>
      </c>
      <c r="X322">
        <v>6.58</v>
      </c>
      <c r="Y322">
        <v>25.74</v>
      </c>
      <c r="Z322">
        <v>7.29</v>
      </c>
      <c r="AA322">
        <v>95292.63</v>
      </c>
      <c r="AB322">
        <v>7.41</v>
      </c>
      <c r="AC322">
        <v>32.17</v>
      </c>
      <c r="AD322">
        <v>8.24</v>
      </c>
    </row>
    <row r="323" spans="1:30" x14ac:dyDescent="0.2">
      <c r="A323" t="s">
        <v>30</v>
      </c>
      <c r="B323" t="s">
        <v>1</v>
      </c>
      <c r="C323" t="s">
        <v>2</v>
      </c>
      <c r="D323" t="s">
        <v>94</v>
      </c>
      <c r="E323" t="s">
        <v>170</v>
      </c>
      <c r="F323" t="s">
        <v>1</v>
      </c>
      <c r="G323" t="s">
        <v>32</v>
      </c>
      <c r="I323" t="s">
        <v>35</v>
      </c>
      <c r="J323" t="s">
        <v>36</v>
      </c>
      <c r="K323" t="s">
        <v>39</v>
      </c>
      <c r="L323">
        <v>121</v>
      </c>
      <c r="M323">
        <v>50</v>
      </c>
      <c r="N323">
        <v>2.42</v>
      </c>
      <c r="O323">
        <v>100</v>
      </c>
      <c r="P323">
        <v>100</v>
      </c>
      <c r="Q323">
        <v>293399</v>
      </c>
      <c r="R323">
        <v>94</v>
      </c>
      <c r="S323">
        <v>283083</v>
      </c>
      <c r="T323">
        <v>93</v>
      </c>
      <c r="U323">
        <v>267843</v>
      </c>
      <c r="V323">
        <v>92</v>
      </c>
      <c r="W323">
        <v>85756.160000000003</v>
      </c>
      <c r="X323">
        <v>8.24</v>
      </c>
      <c r="Y323">
        <v>29.23</v>
      </c>
      <c r="Z323">
        <v>8.77</v>
      </c>
      <c r="AA323">
        <v>91044.98</v>
      </c>
      <c r="AB323">
        <v>8.9</v>
      </c>
      <c r="AC323">
        <v>32.159999999999997</v>
      </c>
      <c r="AD323">
        <v>9.57</v>
      </c>
    </row>
    <row r="324" spans="1:30" x14ac:dyDescent="0.2">
      <c r="A324" t="s">
        <v>30</v>
      </c>
      <c r="B324" t="s">
        <v>1</v>
      </c>
      <c r="C324" t="s">
        <v>2</v>
      </c>
      <c r="D324" t="s">
        <v>94</v>
      </c>
      <c r="E324" t="s">
        <v>170</v>
      </c>
      <c r="F324" t="s">
        <v>1</v>
      </c>
      <c r="G324" t="s">
        <v>32</v>
      </c>
      <c r="I324" t="s">
        <v>38</v>
      </c>
      <c r="J324" t="s">
        <v>40</v>
      </c>
      <c r="L324">
        <v>62</v>
      </c>
      <c r="M324">
        <v>50</v>
      </c>
      <c r="N324">
        <v>1.24</v>
      </c>
      <c r="O324">
        <v>51.24</v>
      </c>
      <c r="P324">
        <v>51.24</v>
      </c>
      <c r="Q324">
        <v>163</v>
      </c>
      <c r="R324" t="s">
        <v>33</v>
      </c>
      <c r="S324">
        <v>152</v>
      </c>
      <c r="T324" t="s">
        <v>33</v>
      </c>
      <c r="U324">
        <v>131</v>
      </c>
      <c r="V324" t="s">
        <v>33</v>
      </c>
      <c r="W324">
        <v>67.92</v>
      </c>
      <c r="X324" t="s">
        <v>33</v>
      </c>
      <c r="Y324">
        <v>41.73</v>
      </c>
      <c r="Z324" t="s">
        <v>33</v>
      </c>
      <c r="AA324">
        <v>74.87</v>
      </c>
      <c r="AB324" t="s">
        <v>33</v>
      </c>
      <c r="AC324">
        <v>49.26</v>
      </c>
      <c r="AD324" t="s">
        <v>33</v>
      </c>
    </row>
    <row r="325" spans="1:30" x14ac:dyDescent="0.2">
      <c r="A325" t="s">
        <v>30</v>
      </c>
      <c r="B325" t="s">
        <v>1</v>
      </c>
      <c r="C325" t="s">
        <v>2</v>
      </c>
      <c r="D325" t="s">
        <v>94</v>
      </c>
      <c r="E325" t="s">
        <v>170</v>
      </c>
      <c r="F325" t="s">
        <v>1</v>
      </c>
      <c r="G325" t="s">
        <v>32</v>
      </c>
      <c r="I325" t="s">
        <v>38</v>
      </c>
      <c r="J325" t="s">
        <v>41</v>
      </c>
      <c r="L325">
        <v>62</v>
      </c>
      <c r="M325">
        <v>50</v>
      </c>
      <c r="N325">
        <v>1.24</v>
      </c>
      <c r="O325">
        <v>51.24</v>
      </c>
      <c r="P325">
        <v>51.24</v>
      </c>
      <c r="Q325">
        <v>294</v>
      </c>
      <c r="R325" t="s">
        <v>33</v>
      </c>
      <c r="S325">
        <v>275</v>
      </c>
      <c r="T325" t="s">
        <v>33</v>
      </c>
      <c r="U325">
        <v>274</v>
      </c>
      <c r="V325" t="s">
        <v>33</v>
      </c>
      <c r="W325">
        <v>142.59</v>
      </c>
      <c r="X325" t="s">
        <v>33</v>
      </c>
      <c r="Y325">
        <v>48.48</v>
      </c>
      <c r="Z325" t="s">
        <v>33</v>
      </c>
      <c r="AA325">
        <v>139.36000000000001</v>
      </c>
      <c r="AB325" t="s">
        <v>33</v>
      </c>
      <c r="AC325">
        <v>50.77</v>
      </c>
      <c r="AD325" t="s">
        <v>33</v>
      </c>
    </row>
    <row r="326" spans="1:30" x14ac:dyDescent="0.2">
      <c r="A326" t="s">
        <v>30</v>
      </c>
      <c r="B326" t="s">
        <v>1</v>
      </c>
      <c r="C326" t="s">
        <v>2</v>
      </c>
      <c r="D326" t="s">
        <v>95</v>
      </c>
      <c r="E326" t="s">
        <v>171</v>
      </c>
      <c r="F326" t="s">
        <v>1</v>
      </c>
      <c r="G326" t="s">
        <v>32</v>
      </c>
      <c r="H326" t="s">
        <v>33</v>
      </c>
      <c r="I326" t="s">
        <v>34</v>
      </c>
      <c r="J326" t="s">
        <v>33</v>
      </c>
      <c r="K326" t="s">
        <v>33</v>
      </c>
      <c r="L326">
        <v>10000</v>
      </c>
      <c r="M326">
        <v>10</v>
      </c>
      <c r="N326">
        <v>1000</v>
      </c>
      <c r="O326">
        <v>100</v>
      </c>
      <c r="P326">
        <v>100</v>
      </c>
      <c r="Q326" t="s">
        <v>33</v>
      </c>
      <c r="R326" t="s">
        <v>33</v>
      </c>
      <c r="S326" t="s">
        <v>33</v>
      </c>
      <c r="T326" t="s">
        <v>33</v>
      </c>
      <c r="U326" t="s">
        <v>33</v>
      </c>
      <c r="V326" t="s">
        <v>33</v>
      </c>
      <c r="W326" t="s">
        <v>33</v>
      </c>
      <c r="X326" t="s">
        <v>33</v>
      </c>
      <c r="Y326" t="s">
        <v>33</v>
      </c>
      <c r="Z326" t="s">
        <v>33</v>
      </c>
      <c r="AA326" t="s">
        <v>33</v>
      </c>
      <c r="AB326" t="s">
        <v>33</v>
      </c>
      <c r="AC326" t="s">
        <v>33</v>
      </c>
      <c r="AD326" t="s">
        <v>33</v>
      </c>
    </row>
    <row r="327" spans="1:30" x14ac:dyDescent="0.2">
      <c r="A327" t="s">
        <v>30</v>
      </c>
      <c r="B327" t="s">
        <v>1</v>
      </c>
      <c r="C327" t="s">
        <v>2</v>
      </c>
      <c r="D327" t="s">
        <v>95</v>
      </c>
      <c r="E327" t="s">
        <v>171</v>
      </c>
      <c r="F327" t="s">
        <v>1</v>
      </c>
      <c r="G327" t="s">
        <v>32</v>
      </c>
      <c r="I327" t="s">
        <v>35</v>
      </c>
      <c r="J327" t="s">
        <v>36</v>
      </c>
      <c r="K327" t="s">
        <v>37</v>
      </c>
      <c r="L327">
        <v>10000</v>
      </c>
      <c r="M327">
        <v>10</v>
      </c>
      <c r="N327">
        <v>1000</v>
      </c>
      <c r="O327">
        <v>100</v>
      </c>
      <c r="P327">
        <v>100</v>
      </c>
      <c r="Q327">
        <v>353844</v>
      </c>
      <c r="R327">
        <v>96058</v>
      </c>
      <c r="S327">
        <v>362177</v>
      </c>
      <c r="T327">
        <v>91869</v>
      </c>
      <c r="U327">
        <v>443396</v>
      </c>
      <c r="V327">
        <v>86962</v>
      </c>
      <c r="W327">
        <v>82273.95</v>
      </c>
      <c r="X327">
        <v>30624.720000000001</v>
      </c>
      <c r="Y327">
        <v>23.25</v>
      </c>
      <c r="Z327">
        <v>31.88</v>
      </c>
      <c r="AA327">
        <v>99057.69</v>
      </c>
      <c r="AB327">
        <v>28669.78</v>
      </c>
      <c r="AC327">
        <v>27.35</v>
      </c>
      <c r="AD327">
        <v>31.21</v>
      </c>
    </row>
    <row r="328" spans="1:30" x14ac:dyDescent="0.2">
      <c r="A328" t="s">
        <v>30</v>
      </c>
      <c r="B328" t="s">
        <v>1</v>
      </c>
      <c r="C328" t="s">
        <v>2</v>
      </c>
      <c r="D328" t="s">
        <v>95</v>
      </c>
      <c r="E328" t="s">
        <v>171</v>
      </c>
      <c r="F328" t="s">
        <v>1</v>
      </c>
      <c r="G328" t="s">
        <v>32</v>
      </c>
      <c r="I328" t="s">
        <v>38</v>
      </c>
      <c r="J328" t="s">
        <v>36</v>
      </c>
      <c r="K328" t="s">
        <v>39</v>
      </c>
      <c r="L328">
        <v>5303</v>
      </c>
      <c r="M328">
        <v>10</v>
      </c>
      <c r="N328">
        <v>530.29999999999995</v>
      </c>
      <c r="O328">
        <v>53.03</v>
      </c>
      <c r="P328">
        <v>53.03</v>
      </c>
      <c r="Q328">
        <v>358015</v>
      </c>
      <c r="R328">
        <v>92</v>
      </c>
      <c r="S328">
        <v>366362</v>
      </c>
      <c r="T328">
        <v>92</v>
      </c>
      <c r="U328">
        <v>422706</v>
      </c>
      <c r="V328">
        <v>94</v>
      </c>
      <c r="W328">
        <v>81544.509999999995</v>
      </c>
      <c r="X328">
        <v>7.01</v>
      </c>
      <c r="Y328">
        <v>22.78</v>
      </c>
      <c r="Z328">
        <v>7.6</v>
      </c>
      <c r="AA328">
        <v>97912.38</v>
      </c>
      <c r="AB328">
        <v>7.41</v>
      </c>
      <c r="AC328">
        <v>26.73</v>
      </c>
      <c r="AD328">
        <v>8.06</v>
      </c>
    </row>
    <row r="329" spans="1:30" x14ac:dyDescent="0.2">
      <c r="A329" t="s">
        <v>30</v>
      </c>
      <c r="B329" t="s">
        <v>1</v>
      </c>
      <c r="C329" t="s">
        <v>2</v>
      </c>
      <c r="D329" t="s">
        <v>95</v>
      </c>
      <c r="E329" t="s">
        <v>171</v>
      </c>
      <c r="F329" t="s">
        <v>1</v>
      </c>
      <c r="G329" t="s">
        <v>32</v>
      </c>
      <c r="I329" t="s">
        <v>35</v>
      </c>
      <c r="J329" t="s">
        <v>36</v>
      </c>
      <c r="K329" t="s">
        <v>39</v>
      </c>
      <c r="L329">
        <v>10000</v>
      </c>
      <c r="M329">
        <v>10</v>
      </c>
      <c r="N329">
        <v>1000</v>
      </c>
      <c r="O329">
        <v>100</v>
      </c>
      <c r="P329">
        <v>100</v>
      </c>
      <c r="Q329">
        <v>353844</v>
      </c>
      <c r="R329">
        <v>98</v>
      </c>
      <c r="S329">
        <v>362177</v>
      </c>
      <c r="T329">
        <v>98</v>
      </c>
      <c r="U329">
        <v>443396</v>
      </c>
      <c r="V329">
        <v>96</v>
      </c>
      <c r="W329">
        <v>82273.95</v>
      </c>
      <c r="X329">
        <v>9.2899999999999991</v>
      </c>
      <c r="Y329">
        <v>23.25</v>
      </c>
      <c r="Z329">
        <v>9.51</v>
      </c>
      <c r="AA329">
        <v>99057.69</v>
      </c>
      <c r="AB329">
        <v>10.38</v>
      </c>
      <c r="AC329">
        <v>27.35</v>
      </c>
      <c r="AD329">
        <v>10.59</v>
      </c>
    </row>
    <row r="330" spans="1:30" x14ac:dyDescent="0.2">
      <c r="A330" t="s">
        <v>30</v>
      </c>
      <c r="B330" t="s">
        <v>1</v>
      </c>
      <c r="C330" t="s">
        <v>2</v>
      </c>
      <c r="D330" t="s">
        <v>95</v>
      </c>
      <c r="E330" t="s">
        <v>171</v>
      </c>
      <c r="F330" t="s">
        <v>1</v>
      </c>
      <c r="G330" t="s">
        <v>32</v>
      </c>
      <c r="I330" t="s">
        <v>38</v>
      </c>
      <c r="J330" t="s">
        <v>40</v>
      </c>
      <c r="L330">
        <v>5303</v>
      </c>
      <c r="M330">
        <v>10</v>
      </c>
      <c r="N330">
        <v>530.29999999999995</v>
      </c>
      <c r="O330">
        <v>53.03</v>
      </c>
      <c r="P330">
        <v>53.03</v>
      </c>
      <c r="Q330">
        <v>476</v>
      </c>
      <c r="R330" t="s">
        <v>33</v>
      </c>
      <c r="S330">
        <v>444</v>
      </c>
      <c r="T330" t="s">
        <v>33</v>
      </c>
      <c r="U330">
        <v>433</v>
      </c>
      <c r="V330" t="s">
        <v>33</v>
      </c>
      <c r="W330">
        <v>224.45</v>
      </c>
      <c r="X330" t="s">
        <v>33</v>
      </c>
      <c r="Y330">
        <v>47.15</v>
      </c>
      <c r="Z330" t="s">
        <v>33</v>
      </c>
      <c r="AA330">
        <v>170.5</v>
      </c>
      <c r="AB330" t="s">
        <v>33</v>
      </c>
      <c r="AC330">
        <v>38.4</v>
      </c>
      <c r="AD330" t="s">
        <v>33</v>
      </c>
    </row>
    <row r="331" spans="1:30" x14ac:dyDescent="0.2">
      <c r="A331" t="s">
        <v>30</v>
      </c>
      <c r="B331" t="s">
        <v>1</v>
      </c>
      <c r="C331" t="s">
        <v>2</v>
      </c>
      <c r="D331" t="s">
        <v>95</v>
      </c>
      <c r="E331" t="s">
        <v>171</v>
      </c>
      <c r="F331" t="s">
        <v>1</v>
      </c>
      <c r="G331" t="s">
        <v>32</v>
      </c>
      <c r="I331" t="s">
        <v>38</v>
      </c>
      <c r="J331" t="s">
        <v>41</v>
      </c>
      <c r="L331">
        <v>5303</v>
      </c>
      <c r="M331">
        <v>10</v>
      </c>
      <c r="N331">
        <v>530.29999999999995</v>
      </c>
      <c r="O331">
        <v>53.03</v>
      </c>
      <c r="P331">
        <v>53.03</v>
      </c>
      <c r="Q331">
        <v>17209</v>
      </c>
      <c r="R331" t="s">
        <v>33</v>
      </c>
      <c r="S331">
        <v>16248</v>
      </c>
      <c r="T331" t="s">
        <v>33</v>
      </c>
      <c r="U331">
        <v>13682</v>
      </c>
      <c r="V331" t="s">
        <v>33</v>
      </c>
      <c r="W331">
        <v>6428.06</v>
      </c>
      <c r="X331" t="s">
        <v>33</v>
      </c>
      <c r="Y331">
        <v>37.35</v>
      </c>
      <c r="Z331" t="s">
        <v>33</v>
      </c>
      <c r="AA331">
        <v>5872.58</v>
      </c>
      <c r="AB331" t="s">
        <v>33</v>
      </c>
      <c r="AC331">
        <v>36.14</v>
      </c>
      <c r="AD331" t="s">
        <v>33</v>
      </c>
    </row>
    <row r="332" spans="1:30" x14ac:dyDescent="0.2">
      <c r="A332" t="s">
        <v>30</v>
      </c>
      <c r="B332" t="s">
        <v>1</v>
      </c>
      <c r="C332" t="s">
        <v>2</v>
      </c>
      <c r="D332" t="s">
        <v>96</v>
      </c>
      <c r="E332" t="s">
        <v>172</v>
      </c>
      <c r="F332" t="s">
        <v>1</v>
      </c>
      <c r="G332" t="s">
        <v>32</v>
      </c>
      <c r="H332" t="s">
        <v>33</v>
      </c>
      <c r="I332" t="s">
        <v>34</v>
      </c>
      <c r="J332" t="s">
        <v>33</v>
      </c>
      <c r="K332" t="s">
        <v>33</v>
      </c>
      <c r="L332">
        <v>10000</v>
      </c>
      <c r="M332">
        <v>21</v>
      </c>
      <c r="N332">
        <v>476.19</v>
      </c>
      <c r="O332">
        <v>100</v>
      </c>
      <c r="P332">
        <v>100</v>
      </c>
      <c r="Q332" t="s">
        <v>33</v>
      </c>
      <c r="R332" t="s">
        <v>33</v>
      </c>
      <c r="S332" t="s">
        <v>33</v>
      </c>
      <c r="T332" t="s">
        <v>33</v>
      </c>
      <c r="U332" t="s">
        <v>33</v>
      </c>
      <c r="V332" t="s">
        <v>33</v>
      </c>
      <c r="W332" t="s">
        <v>33</v>
      </c>
      <c r="X332" t="s">
        <v>33</v>
      </c>
      <c r="Y332" t="s">
        <v>33</v>
      </c>
      <c r="Z332" t="s">
        <v>33</v>
      </c>
      <c r="AA332" t="s">
        <v>33</v>
      </c>
      <c r="AB332" t="s">
        <v>33</v>
      </c>
      <c r="AC332" t="s">
        <v>33</v>
      </c>
      <c r="AD332" t="s">
        <v>33</v>
      </c>
    </row>
    <row r="333" spans="1:30" x14ac:dyDescent="0.2">
      <c r="A333" t="s">
        <v>30</v>
      </c>
      <c r="B333" t="s">
        <v>1</v>
      </c>
      <c r="C333" t="s">
        <v>2</v>
      </c>
      <c r="D333" t="s">
        <v>96</v>
      </c>
      <c r="E333" t="s">
        <v>172</v>
      </c>
      <c r="F333" t="s">
        <v>1</v>
      </c>
      <c r="G333" t="s">
        <v>32</v>
      </c>
      <c r="I333" t="s">
        <v>35</v>
      </c>
      <c r="J333" t="s">
        <v>36</v>
      </c>
      <c r="K333" t="s">
        <v>37</v>
      </c>
      <c r="L333">
        <v>10000</v>
      </c>
      <c r="M333">
        <v>21</v>
      </c>
      <c r="N333">
        <v>476.19</v>
      </c>
      <c r="O333">
        <v>100</v>
      </c>
      <c r="P333">
        <v>100</v>
      </c>
      <c r="Q333">
        <v>360566</v>
      </c>
      <c r="R333">
        <v>98776</v>
      </c>
      <c r="S333">
        <v>370635</v>
      </c>
      <c r="T333">
        <v>94360</v>
      </c>
      <c r="U333">
        <v>424891</v>
      </c>
      <c r="V333">
        <v>90999</v>
      </c>
      <c r="W333">
        <v>80635.179999999993</v>
      </c>
      <c r="X333">
        <v>30363.919999999998</v>
      </c>
      <c r="Y333">
        <v>22.36</v>
      </c>
      <c r="Z333">
        <v>30.74</v>
      </c>
      <c r="AA333">
        <v>92788.52</v>
      </c>
      <c r="AB333">
        <v>27009.27</v>
      </c>
      <c r="AC333">
        <v>25.04</v>
      </c>
      <c r="AD333">
        <v>28.62</v>
      </c>
    </row>
    <row r="334" spans="1:30" x14ac:dyDescent="0.2">
      <c r="A334" t="s">
        <v>30</v>
      </c>
      <c r="B334" t="s">
        <v>1</v>
      </c>
      <c r="C334" t="s">
        <v>2</v>
      </c>
      <c r="D334" t="s">
        <v>96</v>
      </c>
      <c r="E334" t="s">
        <v>172</v>
      </c>
      <c r="F334" t="s">
        <v>1</v>
      </c>
      <c r="G334" t="s">
        <v>32</v>
      </c>
      <c r="I334" t="s">
        <v>38</v>
      </c>
      <c r="J334" t="s">
        <v>36</v>
      </c>
      <c r="K334" t="s">
        <v>39</v>
      </c>
      <c r="L334">
        <v>5067</v>
      </c>
      <c r="M334">
        <v>21</v>
      </c>
      <c r="N334">
        <v>241.286</v>
      </c>
      <c r="O334">
        <v>50.67</v>
      </c>
      <c r="P334">
        <v>50.67</v>
      </c>
      <c r="Q334">
        <v>364618</v>
      </c>
      <c r="R334">
        <v>93</v>
      </c>
      <c r="S334">
        <v>376473</v>
      </c>
      <c r="T334">
        <v>93</v>
      </c>
      <c r="U334">
        <v>453835</v>
      </c>
      <c r="V334">
        <v>92</v>
      </c>
      <c r="W334">
        <v>80314.12</v>
      </c>
      <c r="X334">
        <v>6.83</v>
      </c>
      <c r="Y334">
        <v>22.03</v>
      </c>
      <c r="Z334">
        <v>7.33</v>
      </c>
      <c r="AA334">
        <v>92164.34</v>
      </c>
      <c r="AB334">
        <v>7.41</v>
      </c>
      <c r="AC334">
        <v>24.48</v>
      </c>
      <c r="AD334">
        <v>7.97</v>
      </c>
    </row>
    <row r="335" spans="1:30" x14ac:dyDescent="0.2">
      <c r="A335" t="s">
        <v>30</v>
      </c>
      <c r="B335" t="s">
        <v>1</v>
      </c>
      <c r="C335" t="s">
        <v>2</v>
      </c>
      <c r="D335" t="s">
        <v>96</v>
      </c>
      <c r="E335" t="s">
        <v>172</v>
      </c>
      <c r="F335" t="s">
        <v>1</v>
      </c>
      <c r="G335" t="s">
        <v>32</v>
      </c>
      <c r="I335" t="s">
        <v>35</v>
      </c>
      <c r="J335" t="s">
        <v>36</v>
      </c>
      <c r="K335" t="s">
        <v>39</v>
      </c>
      <c r="L335">
        <v>10000</v>
      </c>
      <c r="M335">
        <v>21</v>
      </c>
      <c r="N335">
        <v>476.19</v>
      </c>
      <c r="O335">
        <v>100</v>
      </c>
      <c r="P335">
        <v>100</v>
      </c>
      <c r="Q335">
        <v>360566</v>
      </c>
      <c r="R335">
        <v>99</v>
      </c>
      <c r="S335">
        <v>370635</v>
      </c>
      <c r="T335">
        <v>99</v>
      </c>
      <c r="U335">
        <v>424891</v>
      </c>
      <c r="V335">
        <v>97</v>
      </c>
      <c r="W335">
        <v>80635.179999999993</v>
      </c>
      <c r="X335">
        <v>8.77</v>
      </c>
      <c r="Y335">
        <v>22.36</v>
      </c>
      <c r="Z335">
        <v>8.9</v>
      </c>
      <c r="AA335">
        <v>92788.52</v>
      </c>
      <c r="AB335">
        <v>10.38</v>
      </c>
      <c r="AC335">
        <v>25.04</v>
      </c>
      <c r="AD335">
        <v>10.48</v>
      </c>
    </row>
    <row r="336" spans="1:30" x14ac:dyDescent="0.2">
      <c r="A336" t="s">
        <v>30</v>
      </c>
      <c r="B336" t="s">
        <v>1</v>
      </c>
      <c r="C336" t="s">
        <v>2</v>
      </c>
      <c r="D336" t="s">
        <v>96</v>
      </c>
      <c r="E336" t="s">
        <v>172</v>
      </c>
      <c r="F336" t="s">
        <v>1</v>
      </c>
      <c r="G336" t="s">
        <v>32</v>
      </c>
      <c r="I336" t="s">
        <v>38</v>
      </c>
      <c r="J336" t="s">
        <v>40</v>
      </c>
      <c r="L336">
        <v>5067</v>
      </c>
      <c r="M336">
        <v>21</v>
      </c>
      <c r="N336">
        <v>241.286</v>
      </c>
      <c r="O336">
        <v>50.67</v>
      </c>
      <c r="P336">
        <v>50.67</v>
      </c>
      <c r="Q336">
        <v>534</v>
      </c>
      <c r="R336" t="s">
        <v>33</v>
      </c>
      <c r="S336">
        <v>501</v>
      </c>
      <c r="T336" t="s">
        <v>33</v>
      </c>
      <c r="U336">
        <v>496</v>
      </c>
      <c r="V336" t="s">
        <v>33</v>
      </c>
      <c r="W336">
        <v>227.84</v>
      </c>
      <c r="X336" t="s">
        <v>33</v>
      </c>
      <c r="Y336">
        <v>42.65</v>
      </c>
      <c r="Z336" t="s">
        <v>33</v>
      </c>
      <c r="AA336">
        <v>192.74</v>
      </c>
      <c r="AB336" t="s">
        <v>33</v>
      </c>
      <c r="AC336">
        <v>38.47</v>
      </c>
      <c r="AD336" t="s">
        <v>33</v>
      </c>
    </row>
    <row r="337" spans="1:30" x14ac:dyDescent="0.2">
      <c r="A337" t="s">
        <v>30</v>
      </c>
      <c r="B337" t="s">
        <v>1</v>
      </c>
      <c r="C337" t="s">
        <v>2</v>
      </c>
      <c r="D337" t="s">
        <v>96</v>
      </c>
      <c r="E337" t="s">
        <v>172</v>
      </c>
      <c r="F337" t="s">
        <v>1</v>
      </c>
      <c r="G337" t="s">
        <v>32</v>
      </c>
      <c r="I337" t="s">
        <v>38</v>
      </c>
      <c r="J337" t="s">
        <v>41</v>
      </c>
      <c r="L337">
        <v>5067</v>
      </c>
      <c r="M337">
        <v>21</v>
      </c>
      <c r="N337">
        <v>241.286</v>
      </c>
      <c r="O337">
        <v>50.67</v>
      </c>
      <c r="P337">
        <v>50.67</v>
      </c>
      <c r="Q337">
        <v>426</v>
      </c>
      <c r="R337" t="s">
        <v>33</v>
      </c>
      <c r="S337">
        <v>375</v>
      </c>
      <c r="T337" t="s">
        <v>33</v>
      </c>
      <c r="U337">
        <v>374</v>
      </c>
      <c r="V337" t="s">
        <v>33</v>
      </c>
      <c r="W337">
        <v>299.83999999999997</v>
      </c>
      <c r="X337" t="s">
        <v>33</v>
      </c>
      <c r="Y337">
        <v>70.349999999999994</v>
      </c>
      <c r="Z337" t="s">
        <v>33</v>
      </c>
      <c r="AA337">
        <v>200.15</v>
      </c>
      <c r="AB337" t="s">
        <v>33</v>
      </c>
      <c r="AC337">
        <v>53.37</v>
      </c>
      <c r="AD337" t="s">
        <v>33</v>
      </c>
    </row>
    <row r="338" spans="1:30" x14ac:dyDescent="0.2">
      <c r="A338" t="s">
        <v>30</v>
      </c>
      <c r="B338" t="s">
        <v>1</v>
      </c>
      <c r="C338" t="s">
        <v>2</v>
      </c>
      <c r="D338" t="s">
        <v>97</v>
      </c>
      <c r="E338" t="s">
        <v>173</v>
      </c>
      <c r="F338" t="s">
        <v>1</v>
      </c>
      <c r="G338" t="s">
        <v>32</v>
      </c>
      <c r="H338" t="s">
        <v>33</v>
      </c>
      <c r="I338" t="s">
        <v>34</v>
      </c>
      <c r="J338" t="s">
        <v>33</v>
      </c>
      <c r="K338" t="s">
        <v>33</v>
      </c>
      <c r="L338">
        <v>10000</v>
      </c>
      <c r="M338">
        <v>7</v>
      </c>
      <c r="N338">
        <v>1428.5709999999999</v>
      </c>
      <c r="O338">
        <v>100</v>
      </c>
      <c r="P338">
        <v>100</v>
      </c>
      <c r="Q338" t="s">
        <v>33</v>
      </c>
      <c r="R338" t="s">
        <v>33</v>
      </c>
      <c r="S338" t="s">
        <v>33</v>
      </c>
      <c r="T338" t="s">
        <v>33</v>
      </c>
      <c r="U338" t="s">
        <v>33</v>
      </c>
      <c r="V338" t="s">
        <v>33</v>
      </c>
      <c r="W338" t="s">
        <v>33</v>
      </c>
      <c r="X338" t="s">
        <v>33</v>
      </c>
      <c r="Y338" t="s">
        <v>33</v>
      </c>
      <c r="Z338" t="s">
        <v>33</v>
      </c>
      <c r="AA338" t="s">
        <v>33</v>
      </c>
      <c r="AB338" t="s">
        <v>33</v>
      </c>
      <c r="AC338" t="s">
        <v>33</v>
      </c>
      <c r="AD338" t="s">
        <v>33</v>
      </c>
    </row>
    <row r="339" spans="1:30" x14ac:dyDescent="0.2">
      <c r="A339" t="s">
        <v>30</v>
      </c>
      <c r="B339" t="s">
        <v>1</v>
      </c>
      <c r="C339" t="s">
        <v>2</v>
      </c>
      <c r="D339" t="s">
        <v>97</v>
      </c>
      <c r="E339" t="s">
        <v>173</v>
      </c>
      <c r="F339" t="s">
        <v>1</v>
      </c>
      <c r="G339" t="s">
        <v>32</v>
      </c>
      <c r="I339" t="s">
        <v>35</v>
      </c>
      <c r="J339" t="s">
        <v>36</v>
      </c>
      <c r="K339" t="s">
        <v>37</v>
      </c>
      <c r="L339">
        <v>10000</v>
      </c>
      <c r="M339">
        <v>7</v>
      </c>
      <c r="N339">
        <v>1428.5709999999999</v>
      </c>
      <c r="O339">
        <v>100</v>
      </c>
      <c r="P339">
        <v>100</v>
      </c>
      <c r="Q339">
        <v>345730</v>
      </c>
      <c r="R339">
        <v>93844</v>
      </c>
      <c r="S339">
        <v>353658</v>
      </c>
      <c r="T339">
        <v>90204</v>
      </c>
      <c r="U339">
        <v>421020</v>
      </c>
      <c r="V339">
        <v>86985</v>
      </c>
      <c r="W339">
        <v>83823.070000000007</v>
      </c>
      <c r="X339">
        <v>30581.360000000001</v>
      </c>
      <c r="Y339">
        <v>24.25</v>
      </c>
      <c r="Z339">
        <v>32.590000000000003</v>
      </c>
      <c r="AA339">
        <v>100360.16</v>
      </c>
      <c r="AB339">
        <v>28133.08</v>
      </c>
      <c r="AC339">
        <v>28.38</v>
      </c>
      <c r="AD339">
        <v>31.19</v>
      </c>
    </row>
    <row r="340" spans="1:30" x14ac:dyDescent="0.2">
      <c r="A340" t="s">
        <v>30</v>
      </c>
      <c r="B340" t="s">
        <v>1</v>
      </c>
      <c r="C340" t="s">
        <v>2</v>
      </c>
      <c r="D340" t="s">
        <v>97</v>
      </c>
      <c r="E340" t="s">
        <v>173</v>
      </c>
      <c r="F340" t="s">
        <v>1</v>
      </c>
      <c r="G340" t="s">
        <v>32</v>
      </c>
      <c r="I340" t="s">
        <v>38</v>
      </c>
      <c r="J340" t="s">
        <v>36</v>
      </c>
      <c r="K340" t="s">
        <v>39</v>
      </c>
      <c r="L340">
        <v>5067</v>
      </c>
      <c r="M340">
        <v>7</v>
      </c>
      <c r="N340">
        <v>723.85699999999997</v>
      </c>
      <c r="O340">
        <v>50.67</v>
      </c>
      <c r="P340">
        <v>50.67</v>
      </c>
      <c r="Q340">
        <v>348350</v>
      </c>
      <c r="R340">
        <v>91</v>
      </c>
      <c r="S340">
        <v>356048</v>
      </c>
      <c r="T340">
        <v>91</v>
      </c>
      <c r="U340">
        <v>386082</v>
      </c>
      <c r="V340">
        <v>89</v>
      </c>
      <c r="W340">
        <v>83019.44</v>
      </c>
      <c r="X340">
        <v>7.13</v>
      </c>
      <c r="Y340">
        <v>23.83</v>
      </c>
      <c r="Z340">
        <v>7.81</v>
      </c>
      <c r="AA340">
        <v>99332.72</v>
      </c>
      <c r="AB340">
        <v>7.41</v>
      </c>
      <c r="AC340">
        <v>27.9</v>
      </c>
      <c r="AD340">
        <v>8.15</v>
      </c>
    </row>
    <row r="341" spans="1:30" x14ac:dyDescent="0.2">
      <c r="A341" t="s">
        <v>30</v>
      </c>
      <c r="B341" t="s">
        <v>1</v>
      </c>
      <c r="C341" t="s">
        <v>2</v>
      </c>
      <c r="D341" t="s">
        <v>97</v>
      </c>
      <c r="E341" t="s">
        <v>173</v>
      </c>
      <c r="F341" t="s">
        <v>1</v>
      </c>
      <c r="G341" t="s">
        <v>32</v>
      </c>
      <c r="I341" t="s">
        <v>35</v>
      </c>
      <c r="J341" t="s">
        <v>36</v>
      </c>
      <c r="K341" t="s">
        <v>39</v>
      </c>
      <c r="L341">
        <v>10000</v>
      </c>
      <c r="M341">
        <v>7</v>
      </c>
      <c r="N341">
        <v>1428.5709999999999</v>
      </c>
      <c r="O341">
        <v>100</v>
      </c>
      <c r="P341">
        <v>100</v>
      </c>
      <c r="Q341">
        <v>345730</v>
      </c>
      <c r="R341">
        <v>97</v>
      </c>
      <c r="S341">
        <v>353658</v>
      </c>
      <c r="T341">
        <v>97</v>
      </c>
      <c r="U341">
        <v>421020</v>
      </c>
      <c r="V341">
        <v>96</v>
      </c>
      <c r="W341">
        <v>83823.070000000007</v>
      </c>
      <c r="X341">
        <v>9.77</v>
      </c>
      <c r="Y341">
        <v>24.25</v>
      </c>
      <c r="Z341">
        <v>10.02</v>
      </c>
      <c r="AA341">
        <v>100360.16</v>
      </c>
      <c r="AB341">
        <v>10.38</v>
      </c>
      <c r="AC341">
        <v>28.38</v>
      </c>
      <c r="AD341">
        <v>10.7</v>
      </c>
    </row>
    <row r="342" spans="1:30" x14ac:dyDescent="0.2">
      <c r="A342" t="s">
        <v>30</v>
      </c>
      <c r="B342" t="s">
        <v>1</v>
      </c>
      <c r="C342" t="s">
        <v>2</v>
      </c>
      <c r="D342" t="s">
        <v>97</v>
      </c>
      <c r="E342" t="s">
        <v>173</v>
      </c>
      <c r="F342" t="s">
        <v>1</v>
      </c>
      <c r="G342" t="s">
        <v>32</v>
      </c>
      <c r="I342" t="s">
        <v>38</v>
      </c>
      <c r="J342" t="s">
        <v>40</v>
      </c>
      <c r="L342">
        <v>5067</v>
      </c>
      <c r="M342">
        <v>7</v>
      </c>
      <c r="N342">
        <v>723.85699999999997</v>
      </c>
      <c r="O342">
        <v>50.67</v>
      </c>
      <c r="P342">
        <v>50.67</v>
      </c>
      <c r="Q342">
        <v>456</v>
      </c>
      <c r="R342" t="s">
        <v>33</v>
      </c>
      <c r="S342">
        <v>426</v>
      </c>
      <c r="T342" t="s">
        <v>33</v>
      </c>
      <c r="U342">
        <v>470</v>
      </c>
      <c r="V342" t="s">
        <v>33</v>
      </c>
      <c r="W342">
        <v>196.42</v>
      </c>
      <c r="X342" t="s">
        <v>33</v>
      </c>
      <c r="Y342">
        <v>43.11</v>
      </c>
      <c r="Z342" t="s">
        <v>33</v>
      </c>
      <c r="AA342">
        <v>169.02</v>
      </c>
      <c r="AB342" t="s">
        <v>33</v>
      </c>
      <c r="AC342">
        <v>39.68</v>
      </c>
      <c r="AD342" t="s">
        <v>33</v>
      </c>
    </row>
    <row r="343" spans="1:30" x14ac:dyDescent="0.2">
      <c r="A343" t="s">
        <v>30</v>
      </c>
      <c r="B343" t="s">
        <v>1</v>
      </c>
      <c r="C343" t="s">
        <v>2</v>
      </c>
      <c r="D343" t="s">
        <v>97</v>
      </c>
      <c r="E343" t="s">
        <v>173</v>
      </c>
      <c r="F343" t="s">
        <v>1</v>
      </c>
      <c r="G343" t="s">
        <v>32</v>
      </c>
      <c r="I343" t="s">
        <v>38</v>
      </c>
      <c r="J343" t="s">
        <v>41</v>
      </c>
      <c r="L343">
        <v>5067</v>
      </c>
      <c r="M343">
        <v>7</v>
      </c>
      <c r="N343">
        <v>723.85699999999997</v>
      </c>
      <c r="O343">
        <v>50.67</v>
      </c>
      <c r="P343">
        <v>50.67</v>
      </c>
      <c r="Q343">
        <v>385</v>
      </c>
      <c r="R343" t="s">
        <v>33</v>
      </c>
      <c r="S343">
        <v>331</v>
      </c>
      <c r="T343" t="s">
        <v>33</v>
      </c>
      <c r="U343">
        <v>326</v>
      </c>
      <c r="V343" t="s">
        <v>33</v>
      </c>
      <c r="W343">
        <v>406.91</v>
      </c>
      <c r="X343" t="s">
        <v>33</v>
      </c>
      <c r="Y343">
        <v>105.66</v>
      </c>
      <c r="Z343" t="s">
        <v>33</v>
      </c>
      <c r="AA343">
        <v>180.88</v>
      </c>
      <c r="AB343" t="s">
        <v>33</v>
      </c>
      <c r="AC343">
        <v>54.65</v>
      </c>
      <c r="AD343" t="s">
        <v>33</v>
      </c>
    </row>
    <row r="344" spans="1:30" x14ac:dyDescent="0.2">
      <c r="A344" t="s">
        <v>30</v>
      </c>
      <c r="B344" t="s">
        <v>1</v>
      </c>
      <c r="C344" t="s">
        <v>2</v>
      </c>
      <c r="D344" t="s">
        <v>98</v>
      </c>
      <c r="E344" t="s">
        <v>174</v>
      </c>
      <c r="F344" t="s">
        <v>1</v>
      </c>
      <c r="G344" t="s">
        <v>32</v>
      </c>
      <c r="H344" t="s">
        <v>33</v>
      </c>
      <c r="I344" t="s">
        <v>34</v>
      </c>
      <c r="J344" t="s">
        <v>33</v>
      </c>
      <c r="K344" t="s">
        <v>33</v>
      </c>
      <c r="L344">
        <v>10000</v>
      </c>
      <c r="M344">
        <v>3</v>
      </c>
      <c r="N344">
        <v>3333.3330000000001</v>
      </c>
      <c r="O344">
        <v>100</v>
      </c>
      <c r="P344">
        <v>100</v>
      </c>
      <c r="Q344" t="s">
        <v>33</v>
      </c>
      <c r="R344" t="s">
        <v>33</v>
      </c>
      <c r="S344" t="s">
        <v>33</v>
      </c>
      <c r="T344" t="s">
        <v>33</v>
      </c>
      <c r="U344" t="s">
        <v>33</v>
      </c>
      <c r="V344" t="s">
        <v>33</v>
      </c>
      <c r="W344" t="s">
        <v>33</v>
      </c>
      <c r="X344" t="s">
        <v>33</v>
      </c>
      <c r="Y344" t="s">
        <v>33</v>
      </c>
      <c r="Z344" t="s">
        <v>33</v>
      </c>
      <c r="AA344" t="s">
        <v>33</v>
      </c>
      <c r="AB344" t="s">
        <v>33</v>
      </c>
      <c r="AC344" t="s">
        <v>33</v>
      </c>
      <c r="AD344" t="s">
        <v>33</v>
      </c>
    </row>
    <row r="345" spans="1:30" x14ac:dyDescent="0.2">
      <c r="A345" t="s">
        <v>30</v>
      </c>
      <c r="B345" t="s">
        <v>1</v>
      </c>
      <c r="C345" t="s">
        <v>2</v>
      </c>
      <c r="D345" t="s">
        <v>98</v>
      </c>
      <c r="E345" t="s">
        <v>174</v>
      </c>
      <c r="F345" t="s">
        <v>1</v>
      </c>
      <c r="G345" t="s">
        <v>32</v>
      </c>
      <c r="I345" t="s">
        <v>35</v>
      </c>
      <c r="J345" t="s">
        <v>36</v>
      </c>
      <c r="K345" t="s">
        <v>37</v>
      </c>
      <c r="L345">
        <v>10000</v>
      </c>
      <c r="M345">
        <v>3</v>
      </c>
      <c r="N345">
        <v>3333.3330000000001</v>
      </c>
      <c r="O345">
        <v>100</v>
      </c>
      <c r="P345">
        <v>100</v>
      </c>
      <c r="Q345">
        <v>340305</v>
      </c>
      <c r="R345">
        <v>92157</v>
      </c>
      <c r="S345">
        <v>346791</v>
      </c>
      <c r="T345">
        <v>88549</v>
      </c>
      <c r="U345">
        <v>392026</v>
      </c>
      <c r="V345">
        <v>84953</v>
      </c>
      <c r="W345">
        <v>83889.84</v>
      </c>
      <c r="X345">
        <v>29743.03</v>
      </c>
      <c r="Y345">
        <v>24.65</v>
      </c>
      <c r="Z345">
        <v>32.270000000000003</v>
      </c>
      <c r="AA345">
        <v>98707.06</v>
      </c>
      <c r="AB345">
        <v>27987.040000000001</v>
      </c>
      <c r="AC345">
        <v>28.46</v>
      </c>
      <c r="AD345">
        <v>31.61</v>
      </c>
    </row>
    <row r="346" spans="1:30" x14ac:dyDescent="0.2">
      <c r="A346" t="s">
        <v>30</v>
      </c>
      <c r="B346" t="s">
        <v>1</v>
      </c>
      <c r="C346" t="s">
        <v>2</v>
      </c>
      <c r="D346" t="s">
        <v>98</v>
      </c>
      <c r="E346" t="s">
        <v>174</v>
      </c>
      <c r="F346" t="s">
        <v>1</v>
      </c>
      <c r="G346" t="s">
        <v>32</v>
      </c>
      <c r="I346" t="s">
        <v>38</v>
      </c>
      <c r="J346" t="s">
        <v>36</v>
      </c>
      <c r="K346" t="s">
        <v>39</v>
      </c>
      <c r="L346">
        <v>5161</v>
      </c>
      <c r="M346">
        <v>3</v>
      </c>
      <c r="N346">
        <v>1720.3330000000001</v>
      </c>
      <c r="O346">
        <v>51.61</v>
      </c>
      <c r="P346">
        <v>51.61</v>
      </c>
      <c r="Q346">
        <v>342397</v>
      </c>
      <c r="R346">
        <v>90</v>
      </c>
      <c r="S346">
        <v>349241</v>
      </c>
      <c r="T346">
        <v>90</v>
      </c>
      <c r="U346">
        <v>392026</v>
      </c>
      <c r="V346">
        <v>91</v>
      </c>
      <c r="W346">
        <v>83159.27</v>
      </c>
      <c r="X346">
        <v>7.02</v>
      </c>
      <c r="Y346">
        <v>24.29</v>
      </c>
      <c r="Z346">
        <v>7.78</v>
      </c>
      <c r="AA346">
        <v>96305.25</v>
      </c>
      <c r="AB346">
        <v>7.41</v>
      </c>
      <c r="AC346">
        <v>27.58</v>
      </c>
      <c r="AD346">
        <v>8.24</v>
      </c>
    </row>
    <row r="347" spans="1:30" x14ac:dyDescent="0.2">
      <c r="A347" t="s">
        <v>30</v>
      </c>
      <c r="B347" t="s">
        <v>1</v>
      </c>
      <c r="C347" t="s">
        <v>2</v>
      </c>
      <c r="D347" t="s">
        <v>98</v>
      </c>
      <c r="E347" t="s">
        <v>174</v>
      </c>
      <c r="F347" t="s">
        <v>1</v>
      </c>
      <c r="G347" t="s">
        <v>32</v>
      </c>
      <c r="I347" t="s">
        <v>35</v>
      </c>
      <c r="J347" t="s">
        <v>36</v>
      </c>
      <c r="K347" t="s">
        <v>39</v>
      </c>
      <c r="L347">
        <v>10000</v>
      </c>
      <c r="M347">
        <v>3</v>
      </c>
      <c r="N347">
        <v>3333.3330000000001</v>
      </c>
      <c r="O347">
        <v>100</v>
      </c>
      <c r="P347">
        <v>100</v>
      </c>
      <c r="Q347">
        <v>340305</v>
      </c>
      <c r="R347">
        <v>97</v>
      </c>
      <c r="S347">
        <v>346791</v>
      </c>
      <c r="T347">
        <v>97</v>
      </c>
      <c r="U347">
        <v>392026</v>
      </c>
      <c r="V347">
        <v>96</v>
      </c>
      <c r="W347">
        <v>83889.84</v>
      </c>
      <c r="X347">
        <v>10.24</v>
      </c>
      <c r="Y347">
        <v>24.65</v>
      </c>
      <c r="Z347">
        <v>10.56</v>
      </c>
      <c r="AA347">
        <v>98707.06</v>
      </c>
      <c r="AB347">
        <v>11.86</v>
      </c>
      <c r="AC347">
        <v>28.46</v>
      </c>
      <c r="AD347">
        <v>12.23</v>
      </c>
    </row>
    <row r="348" spans="1:30" x14ac:dyDescent="0.2">
      <c r="A348" t="s">
        <v>30</v>
      </c>
      <c r="B348" t="s">
        <v>1</v>
      </c>
      <c r="C348" t="s">
        <v>2</v>
      </c>
      <c r="D348" t="s">
        <v>98</v>
      </c>
      <c r="E348" t="s">
        <v>174</v>
      </c>
      <c r="F348" t="s">
        <v>1</v>
      </c>
      <c r="G348" t="s">
        <v>32</v>
      </c>
      <c r="I348" t="s">
        <v>38</v>
      </c>
      <c r="J348" t="s">
        <v>40</v>
      </c>
      <c r="L348">
        <v>5161</v>
      </c>
      <c r="M348">
        <v>3</v>
      </c>
      <c r="N348">
        <v>1720.3330000000001</v>
      </c>
      <c r="O348">
        <v>51.61</v>
      </c>
      <c r="P348">
        <v>51.61</v>
      </c>
      <c r="Q348">
        <v>376</v>
      </c>
      <c r="R348" t="s">
        <v>33</v>
      </c>
      <c r="S348">
        <v>350</v>
      </c>
      <c r="T348" t="s">
        <v>33</v>
      </c>
      <c r="U348">
        <v>340</v>
      </c>
      <c r="V348" t="s">
        <v>33</v>
      </c>
      <c r="W348">
        <v>159.03</v>
      </c>
      <c r="X348" t="s">
        <v>33</v>
      </c>
      <c r="Y348">
        <v>42.35</v>
      </c>
      <c r="Z348" t="s">
        <v>33</v>
      </c>
      <c r="AA348">
        <v>142.33000000000001</v>
      </c>
      <c r="AB348" t="s">
        <v>33</v>
      </c>
      <c r="AC348">
        <v>40.67</v>
      </c>
      <c r="AD348" t="s">
        <v>33</v>
      </c>
    </row>
    <row r="349" spans="1:30" x14ac:dyDescent="0.2">
      <c r="A349" t="s">
        <v>30</v>
      </c>
      <c r="B349" t="s">
        <v>1</v>
      </c>
      <c r="C349" t="s">
        <v>2</v>
      </c>
      <c r="D349" t="s">
        <v>98</v>
      </c>
      <c r="E349" t="s">
        <v>174</v>
      </c>
      <c r="F349" t="s">
        <v>1</v>
      </c>
      <c r="G349" t="s">
        <v>32</v>
      </c>
      <c r="I349" t="s">
        <v>38</v>
      </c>
      <c r="J349" t="s">
        <v>41</v>
      </c>
      <c r="L349">
        <v>5161</v>
      </c>
      <c r="M349">
        <v>3</v>
      </c>
      <c r="N349">
        <v>1720.3330000000001</v>
      </c>
      <c r="O349">
        <v>51.61</v>
      </c>
      <c r="P349">
        <v>51.61</v>
      </c>
      <c r="Q349">
        <v>258</v>
      </c>
      <c r="R349" t="s">
        <v>33</v>
      </c>
      <c r="S349">
        <v>222</v>
      </c>
      <c r="T349" t="s">
        <v>33</v>
      </c>
      <c r="U349">
        <v>233</v>
      </c>
      <c r="V349" t="s">
        <v>33</v>
      </c>
      <c r="W349">
        <v>157.26</v>
      </c>
      <c r="X349" t="s">
        <v>33</v>
      </c>
      <c r="Y349">
        <v>61</v>
      </c>
      <c r="Z349" t="s">
        <v>33</v>
      </c>
      <c r="AA349">
        <v>120.09</v>
      </c>
      <c r="AB349" t="s">
        <v>33</v>
      </c>
      <c r="AC349">
        <v>54.09</v>
      </c>
      <c r="AD349" t="s">
        <v>33</v>
      </c>
    </row>
    <row r="350" spans="1:30" x14ac:dyDescent="0.2">
      <c r="A350" t="s">
        <v>30</v>
      </c>
      <c r="B350" t="s">
        <v>1</v>
      </c>
      <c r="C350" t="s">
        <v>2</v>
      </c>
      <c r="D350" t="s">
        <v>99</v>
      </c>
      <c r="E350" t="s">
        <v>175</v>
      </c>
      <c r="F350" t="s">
        <v>1</v>
      </c>
      <c r="G350" t="s">
        <v>32</v>
      </c>
      <c r="H350" t="s">
        <v>33</v>
      </c>
      <c r="I350" t="s">
        <v>34</v>
      </c>
      <c r="J350" t="s">
        <v>33</v>
      </c>
      <c r="K350" t="s">
        <v>33</v>
      </c>
      <c r="L350">
        <v>10000</v>
      </c>
      <c r="M350">
        <v>4</v>
      </c>
      <c r="N350">
        <v>2500</v>
      </c>
      <c r="O350">
        <v>100</v>
      </c>
      <c r="P350">
        <v>100</v>
      </c>
      <c r="Q350" t="s">
        <v>33</v>
      </c>
      <c r="R350" t="s">
        <v>33</v>
      </c>
      <c r="S350" t="s">
        <v>33</v>
      </c>
      <c r="T350" t="s">
        <v>33</v>
      </c>
      <c r="U350" t="s">
        <v>33</v>
      </c>
      <c r="V350" t="s">
        <v>33</v>
      </c>
      <c r="W350" t="s">
        <v>33</v>
      </c>
      <c r="X350" t="s">
        <v>33</v>
      </c>
      <c r="Y350" t="s">
        <v>33</v>
      </c>
      <c r="Z350" t="s">
        <v>33</v>
      </c>
      <c r="AA350" t="s">
        <v>33</v>
      </c>
      <c r="AB350" t="s">
        <v>33</v>
      </c>
      <c r="AC350" t="s">
        <v>33</v>
      </c>
      <c r="AD350" t="s">
        <v>33</v>
      </c>
    </row>
    <row r="351" spans="1:30" x14ac:dyDescent="0.2">
      <c r="A351" t="s">
        <v>30</v>
      </c>
      <c r="B351" t="s">
        <v>1</v>
      </c>
      <c r="C351" t="s">
        <v>2</v>
      </c>
      <c r="D351" t="s">
        <v>99</v>
      </c>
      <c r="E351" t="s">
        <v>175</v>
      </c>
      <c r="F351" t="s">
        <v>1</v>
      </c>
      <c r="G351" t="s">
        <v>32</v>
      </c>
      <c r="I351" t="s">
        <v>35</v>
      </c>
      <c r="J351" t="s">
        <v>36</v>
      </c>
      <c r="K351" t="s">
        <v>37</v>
      </c>
      <c r="L351">
        <v>10000</v>
      </c>
      <c r="M351">
        <v>4</v>
      </c>
      <c r="N351">
        <v>2500</v>
      </c>
      <c r="O351">
        <v>100</v>
      </c>
      <c r="P351">
        <v>100</v>
      </c>
      <c r="Q351">
        <v>344057</v>
      </c>
      <c r="R351">
        <v>93089</v>
      </c>
      <c r="S351">
        <v>352846</v>
      </c>
      <c r="T351">
        <v>90020</v>
      </c>
      <c r="U351">
        <v>412550</v>
      </c>
      <c r="V351">
        <v>91162</v>
      </c>
      <c r="W351">
        <v>84924.2</v>
      </c>
      <c r="X351">
        <v>29981.119999999999</v>
      </c>
      <c r="Y351">
        <v>24.68</v>
      </c>
      <c r="Z351">
        <v>32.21</v>
      </c>
      <c r="AA351">
        <v>102062.92</v>
      </c>
      <c r="AB351">
        <v>27858.79</v>
      </c>
      <c r="AC351">
        <v>28.93</v>
      </c>
      <c r="AD351">
        <v>30.95</v>
      </c>
    </row>
    <row r="352" spans="1:30" x14ac:dyDescent="0.2">
      <c r="A352" t="s">
        <v>30</v>
      </c>
      <c r="B352" t="s">
        <v>1</v>
      </c>
      <c r="C352" t="s">
        <v>2</v>
      </c>
      <c r="D352" t="s">
        <v>99</v>
      </c>
      <c r="E352" t="s">
        <v>175</v>
      </c>
      <c r="F352" t="s">
        <v>1</v>
      </c>
      <c r="G352" t="s">
        <v>32</v>
      </c>
      <c r="I352" t="s">
        <v>38</v>
      </c>
      <c r="J352" t="s">
        <v>36</v>
      </c>
      <c r="K352" t="s">
        <v>39</v>
      </c>
      <c r="L352">
        <v>5012</v>
      </c>
      <c r="M352">
        <v>4</v>
      </c>
      <c r="N352">
        <v>1253</v>
      </c>
      <c r="O352">
        <v>50.12</v>
      </c>
      <c r="P352">
        <v>50.12</v>
      </c>
      <c r="Q352">
        <v>348162</v>
      </c>
      <c r="R352">
        <v>91</v>
      </c>
      <c r="S352">
        <v>356942</v>
      </c>
      <c r="T352">
        <v>91</v>
      </c>
      <c r="U352">
        <v>412515</v>
      </c>
      <c r="V352">
        <v>93</v>
      </c>
      <c r="W352">
        <v>84613.75</v>
      </c>
      <c r="X352">
        <v>7.21</v>
      </c>
      <c r="Y352">
        <v>24.3</v>
      </c>
      <c r="Z352">
        <v>7.95</v>
      </c>
      <c r="AA352">
        <v>98934.64</v>
      </c>
      <c r="AB352">
        <v>7.41</v>
      </c>
      <c r="AC352">
        <v>27.72</v>
      </c>
      <c r="AD352">
        <v>8.15</v>
      </c>
    </row>
    <row r="353" spans="1:30" x14ac:dyDescent="0.2">
      <c r="A353" t="s">
        <v>30</v>
      </c>
      <c r="B353" t="s">
        <v>1</v>
      </c>
      <c r="C353" t="s">
        <v>2</v>
      </c>
      <c r="D353" t="s">
        <v>99</v>
      </c>
      <c r="E353" t="s">
        <v>175</v>
      </c>
      <c r="F353" t="s">
        <v>1</v>
      </c>
      <c r="G353" t="s">
        <v>32</v>
      </c>
      <c r="I353" t="s">
        <v>35</v>
      </c>
      <c r="J353" t="s">
        <v>36</v>
      </c>
      <c r="K353" t="s">
        <v>39</v>
      </c>
      <c r="L353">
        <v>10000</v>
      </c>
      <c r="M353">
        <v>4</v>
      </c>
      <c r="N353">
        <v>2500</v>
      </c>
      <c r="O353">
        <v>100</v>
      </c>
      <c r="P353">
        <v>100</v>
      </c>
      <c r="Q353">
        <v>344057</v>
      </c>
      <c r="R353">
        <v>97</v>
      </c>
      <c r="S353">
        <v>352846</v>
      </c>
      <c r="T353">
        <v>97</v>
      </c>
      <c r="U353">
        <v>412550</v>
      </c>
      <c r="V353">
        <v>96</v>
      </c>
      <c r="W353">
        <v>84924.2</v>
      </c>
      <c r="X353">
        <v>10.18</v>
      </c>
      <c r="Y353">
        <v>24.68</v>
      </c>
      <c r="Z353">
        <v>10.45</v>
      </c>
      <c r="AA353">
        <v>102062.92</v>
      </c>
      <c r="AB353">
        <v>11.86</v>
      </c>
      <c r="AC353">
        <v>28.93</v>
      </c>
      <c r="AD353">
        <v>12.23</v>
      </c>
    </row>
    <row r="354" spans="1:30" x14ac:dyDescent="0.2">
      <c r="A354" t="s">
        <v>30</v>
      </c>
      <c r="B354" t="s">
        <v>1</v>
      </c>
      <c r="C354" t="s">
        <v>2</v>
      </c>
      <c r="D354" t="s">
        <v>99</v>
      </c>
      <c r="E354" t="s">
        <v>175</v>
      </c>
      <c r="F354" t="s">
        <v>1</v>
      </c>
      <c r="G354" t="s">
        <v>32</v>
      </c>
      <c r="I354" t="s">
        <v>38</v>
      </c>
      <c r="J354" t="s">
        <v>40</v>
      </c>
      <c r="L354">
        <v>5012</v>
      </c>
      <c r="M354">
        <v>4</v>
      </c>
      <c r="N354">
        <v>1253</v>
      </c>
      <c r="O354">
        <v>50.12</v>
      </c>
      <c r="P354">
        <v>50.12</v>
      </c>
      <c r="Q354">
        <v>376</v>
      </c>
      <c r="R354" t="s">
        <v>33</v>
      </c>
      <c r="S354">
        <v>348</v>
      </c>
      <c r="T354" t="s">
        <v>33</v>
      </c>
      <c r="U354">
        <v>354</v>
      </c>
      <c r="V354" t="s">
        <v>33</v>
      </c>
      <c r="W354">
        <v>164.32</v>
      </c>
      <c r="X354" t="s">
        <v>33</v>
      </c>
      <c r="Y354">
        <v>43.73</v>
      </c>
      <c r="Z354" t="s">
        <v>33</v>
      </c>
      <c r="AA354">
        <v>145.29</v>
      </c>
      <c r="AB354" t="s">
        <v>33</v>
      </c>
      <c r="AC354">
        <v>41.75</v>
      </c>
      <c r="AD354" t="s">
        <v>33</v>
      </c>
    </row>
    <row r="355" spans="1:30" x14ac:dyDescent="0.2">
      <c r="A355" t="s">
        <v>30</v>
      </c>
      <c r="B355" t="s">
        <v>1</v>
      </c>
      <c r="C355" t="s">
        <v>2</v>
      </c>
      <c r="D355" t="s">
        <v>99</v>
      </c>
      <c r="E355" t="s">
        <v>175</v>
      </c>
      <c r="F355" t="s">
        <v>1</v>
      </c>
      <c r="G355" t="s">
        <v>32</v>
      </c>
      <c r="I355" t="s">
        <v>38</v>
      </c>
      <c r="J355" t="s">
        <v>41</v>
      </c>
      <c r="L355">
        <v>5012</v>
      </c>
      <c r="M355">
        <v>4</v>
      </c>
      <c r="N355">
        <v>1253</v>
      </c>
      <c r="O355">
        <v>50.12</v>
      </c>
      <c r="P355">
        <v>50.12</v>
      </c>
      <c r="Q355">
        <v>12499</v>
      </c>
      <c r="R355" t="s">
        <v>33</v>
      </c>
      <c r="S355">
        <v>11571</v>
      </c>
      <c r="T355" t="s">
        <v>33</v>
      </c>
      <c r="U355">
        <v>13148</v>
      </c>
      <c r="V355" t="s">
        <v>33</v>
      </c>
      <c r="W355">
        <v>5314.32</v>
      </c>
      <c r="X355" t="s">
        <v>33</v>
      </c>
      <c r="Y355">
        <v>42.52</v>
      </c>
      <c r="Z355" t="s">
        <v>33</v>
      </c>
      <c r="AA355">
        <v>4650.92</v>
      </c>
      <c r="AB355" t="s">
        <v>33</v>
      </c>
      <c r="AC355">
        <v>40.200000000000003</v>
      </c>
      <c r="AD355" t="s">
        <v>33</v>
      </c>
    </row>
    <row r="356" spans="1:30" x14ac:dyDescent="0.2">
      <c r="A356" t="s">
        <v>30</v>
      </c>
      <c r="B356" t="s">
        <v>1</v>
      </c>
      <c r="C356" t="s">
        <v>2</v>
      </c>
      <c r="D356" t="s">
        <v>100</v>
      </c>
      <c r="E356" t="s">
        <v>176</v>
      </c>
      <c r="F356" t="s">
        <v>1</v>
      </c>
      <c r="G356" t="s">
        <v>32</v>
      </c>
      <c r="H356" t="s">
        <v>33</v>
      </c>
      <c r="I356" t="s">
        <v>34</v>
      </c>
      <c r="J356" t="s">
        <v>33</v>
      </c>
      <c r="K356" t="s">
        <v>33</v>
      </c>
      <c r="L356">
        <v>10000</v>
      </c>
      <c r="M356">
        <v>2</v>
      </c>
      <c r="N356">
        <v>5000</v>
      </c>
      <c r="O356">
        <v>100</v>
      </c>
      <c r="P356">
        <v>100</v>
      </c>
      <c r="Q356" t="s">
        <v>33</v>
      </c>
      <c r="R356" t="s">
        <v>33</v>
      </c>
      <c r="S356" t="s">
        <v>33</v>
      </c>
      <c r="T356" t="s">
        <v>33</v>
      </c>
      <c r="U356" t="s">
        <v>33</v>
      </c>
      <c r="V356" t="s">
        <v>33</v>
      </c>
      <c r="W356" t="s">
        <v>33</v>
      </c>
      <c r="X356" t="s">
        <v>33</v>
      </c>
      <c r="Y356" t="s">
        <v>33</v>
      </c>
      <c r="Z356" t="s">
        <v>33</v>
      </c>
      <c r="AA356" t="s">
        <v>33</v>
      </c>
      <c r="AB356" t="s">
        <v>33</v>
      </c>
      <c r="AC356" t="s">
        <v>33</v>
      </c>
      <c r="AD356" t="s">
        <v>33</v>
      </c>
    </row>
    <row r="357" spans="1:30" x14ac:dyDescent="0.2">
      <c r="A357" t="s">
        <v>30</v>
      </c>
      <c r="B357" t="s">
        <v>1</v>
      </c>
      <c r="C357" t="s">
        <v>2</v>
      </c>
      <c r="D357" t="s">
        <v>100</v>
      </c>
      <c r="E357" t="s">
        <v>176</v>
      </c>
      <c r="F357" t="s">
        <v>1</v>
      </c>
      <c r="G357" t="s">
        <v>32</v>
      </c>
      <c r="I357" t="s">
        <v>35</v>
      </c>
      <c r="J357" t="s">
        <v>36</v>
      </c>
      <c r="K357" t="s">
        <v>37</v>
      </c>
      <c r="L357">
        <v>10000</v>
      </c>
      <c r="M357">
        <v>2</v>
      </c>
      <c r="N357">
        <v>5000</v>
      </c>
      <c r="O357">
        <v>100</v>
      </c>
      <c r="P357">
        <v>100</v>
      </c>
      <c r="Q357">
        <v>321034</v>
      </c>
      <c r="R357">
        <v>86388</v>
      </c>
      <c r="S357">
        <v>312009</v>
      </c>
      <c r="T357">
        <v>81888</v>
      </c>
      <c r="U357">
        <v>271383</v>
      </c>
      <c r="V357">
        <v>78870</v>
      </c>
      <c r="W357">
        <v>76557.179999999993</v>
      </c>
      <c r="X357">
        <v>29377.67</v>
      </c>
      <c r="Y357">
        <v>23.85</v>
      </c>
      <c r="Z357">
        <v>34.01</v>
      </c>
      <c r="AA357">
        <v>88142.79</v>
      </c>
      <c r="AB357">
        <v>27376.21</v>
      </c>
      <c r="AC357">
        <v>28.25</v>
      </c>
      <c r="AD357">
        <v>33.43</v>
      </c>
    </row>
    <row r="358" spans="1:30" x14ac:dyDescent="0.2">
      <c r="A358" t="s">
        <v>30</v>
      </c>
      <c r="B358" t="s">
        <v>1</v>
      </c>
      <c r="C358" t="s">
        <v>2</v>
      </c>
      <c r="D358" t="s">
        <v>100</v>
      </c>
      <c r="E358" t="s">
        <v>176</v>
      </c>
      <c r="F358" t="s">
        <v>1</v>
      </c>
      <c r="G358" t="s">
        <v>32</v>
      </c>
      <c r="I358" t="s">
        <v>38</v>
      </c>
      <c r="J358" t="s">
        <v>36</v>
      </c>
      <c r="K358" t="s">
        <v>39</v>
      </c>
      <c r="L358">
        <v>5070</v>
      </c>
      <c r="M358">
        <v>2</v>
      </c>
      <c r="N358">
        <v>2535</v>
      </c>
      <c r="O358">
        <v>50.7</v>
      </c>
      <c r="P358">
        <v>50.7</v>
      </c>
      <c r="Q358">
        <v>320689</v>
      </c>
      <c r="R358">
        <v>89</v>
      </c>
      <c r="S358">
        <v>311447</v>
      </c>
      <c r="T358">
        <v>88</v>
      </c>
      <c r="U358">
        <v>271421</v>
      </c>
      <c r="V358">
        <v>87</v>
      </c>
      <c r="W358">
        <v>78000.33</v>
      </c>
      <c r="X358">
        <v>6.99</v>
      </c>
      <c r="Y358">
        <v>24.32</v>
      </c>
      <c r="Z358">
        <v>7.84</v>
      </c>
      <c r="AA358">
        <v>90675.81</v>
      </c>
      <c r="AB358">
        <v>7.41</v>
      </c>
      <c r="AC358">
        <v>29.11</v>
      </c>
      <c r="AD358">
        <v>8.42</v>
      </c>
    </row>
    <row r="359" spans="1:30" x14ac:dyDescent="0.2">
      <c r="A359" t="s">
        <v>30</v>
      </c>
      <c r="B359" t="s">
        <v>1</v>
      </c>
      <c r="C359" t="s">
        <v>2</v>
      </c>
      <c r="D359" t="s">
        <v>100</v>
      </c>
      <c r="E359" t="s">
        <v>176</v>
      </c>
      <c r="F359" t="s">
        <v>1</v>
      </c>
      <c r="G359" t="s">
        <v>32</v>
      </c>
      <c r="I359" t="s">
        <v>35</v>
      </c>
      <c r="J359" t="s">
        <v>36</v>
      </c>
      <c r="K359" t="s">
        <v>39</v>
      </c>
      <c r="L359">
        <v>10000</v>
      </c>
      <c r="M359">
        <v>2</v>
      </c>
      <c r="N359">
        <v>5000</v>
      </c>
      <c r="O359">
        <v>100</v>
      </c>
      <c r="P359">
        <v>100</v>
      </c>
      <c r="Q359">
        <v>321034</v>
      </c>
      <c r="R359">
        <v>96</v>
      </c>
      <c r="S359">
        <v>312009</v>
      </c>
      <c r="T359">
        <v>96</v>
      </c>
      <c r="U359">
        <v>271383</v>
      </c>
      <c r="V359">
        <v>98</v>
      </c>
      <c r="W359">
        <v>76557.179999999993</v>
      </c>
      <c r="X359">
        <v>10.199999999999999</v>
      </c>
      <c r="Y359">
        <v>23.85</v>
      </c>
      <c r="Z359">
        <v>10.61</v>
      </c>
      <c r="AA359">
        <v>88142.79</v>
      </c>
      <c r="AB359">
        <v>11.86</v>
      </c>
      <c r="AC359">
        <v>28.25</v>
      </c>
      <c r="AD359">
        <v>12.35</v>
      </c>
    </row>
    <row r="360" spans="1:30" x14ac:dyDescent="0.2">
      <c r="A360" t="s">
        <v>30</v>
      </c>
      <c r="B360" t="s">
        <v>1</v>
      </c>
      <c r="C360" t="s">
        <v>2</v>
      </c>
      <c r="D360" t="s">
        <v>100</v>
      </c>
      <c r="E360" t="s">
        <v>176</v>
      </c>
      <c r="F360" t="s">
        <v>1</v>
      </c>
      <c r="G360" t="s">
        <v>32</v>
      </c>
      <c r="I360" t="s">
        <v>38</v>
      </c>
      <c r="J360" t="s">
        <v>40</v>
      </c>
      <c r="L360">
        <v>5070</v>
      </c>
      <c r="M360">
        <v>2</v>
      </c>
      <c r="N360">
        <v>2535</v>
      </c>
      <c r="O360">
        <v>50.7</v>
      </c>
      <c r="P360">
        <v>50.7</v>
      </c>
      <c r="Q360">
        <v>166</v>
      </c>
      <c r="R360" t="s">
        <v>33</v>
      </c>
      <c r="S360">
        <v>156</v>
      </c>
      <c r="T360" t="s">
        <v>33</v>
      </c>
      <c r="U360">
        <v>175</v>
      </c>
      <c r="V360" t="s">
        <v>33</v>
      </c>
      <c r="W360">
        <v>69.680000000000007</v>
      </c>
      <c r="X360" t="s">
        <v>33</v>
      </c>
      <c r="Y360">
        <v>42.07</v>
      </c>
      <c r="Z360" t="s">
        <v>33</v>
      </c>
      <c r="AA360">
        <v>65.23</v>
      </c>
      <c r="AB360" t="s">
        <v>33</v>
      </c>
      <c r="AC360">
        <v>41.82</v>
      </c>
      <c r="AD360" t="s">
        <v>33</v>
      </c>
    </row>
    <row r="361" spans="1:30" x14ac:dyDescent="0.2">
      <c r="A361" t="s">
        <v>30</v>
      </c>
      <c r="B361" t="s">
        <v>1</v>
      </c>
      <c r="C361" t="s">
        <v>2</v>
      </c>
      <c r="D361" t="s">
        <v>100</v>
      </c>
      <c r="E361" t="s">
        <v>176</v>
      </c>
      <c r="F361" t="s">
        <v>1</v>
      </c>
      <c r="G361" t="s">
        <v>32</v>
      </c>
      <c r="I361" t="s">
        <v>38</v>
      </c>
      <c r="J361" t="s">
        <v>41</v>
      </c>
      <c r="L361">
        <v>5070</v>
      </c>
      <c r="M361">
        <v>2</v>
      </c>
      <c r="N361">
        <v>2535</v>
      </c>
      <c r="O361">
        <v>50.7</v>
      </c>
      <c r="P361">
        <v>50.7</v>
      </c>
      <c r="Q361">
        <v>255</v>
      </c>
      <c r="R361" t="s">
        <v>33</v>
      </c>
      <c r="S361">
        <v>221</v>
      </c>
      <c r="T361" t="s">
        <v>33</v>
      </c>
      <c r="U361">
        <v>168</v>
      </c>
      <c r="V361" t="s">
        <v>33</v>
      </c>
      <c r="W361">
        <v>198.33</v>
      </c>
      <c r="X361" t="s">
        <v>33</v>
      </c>
      <c r="Y361">
        <v>77.86</v>
      </c>
      <c r="Z361" t="s">
        <v>33</v>
      </c>
      <c r="AA361">
        <v>118.61</v>
      </c>
      <c r="AB361" t="s">
        <v>33</v>
      </c>
      <c r="AC361">
        <v>53.67</v>
      </c>
      <c r="AD361" t="s">
        <v>33</v>
      </c>
    </row>
    <row r="362" spans="1:30" x14ac:dyDescent="0.2">
      <c r="A362" t="s">
        <v>30</v>
      </c>
      <c r="B362" t="s">
        <v>1</v>
      </c>
      <c r="C362" t="s">
        <v>2</v>
      </c>
      <c r="D362" t="s">
        <v>101</v>
      </c>
      <c r="E362" t="s">
        <v>177</v>
      </c>
      <c r="F362" t="s">
        <v>1</v>
      </c>
      <c r="G362" t="s">
        <v>32</v>
      </c>
      <c r="H362" t="s">
        <v>33</v>
      </c>
      <c r="I362" t="s">
        <v>34</v>
      </c>
      <c r="J362" t="s">
        <v>33</v>
      </c>
      <c r="K362" t="s">
        <v>33</v>
      </c>
      <c r="L362">
        <v>10000</v>
      </c>
      <c r="M362">
        <v>3</v>
      </c>
      <c r="N362">
        <v>3333.3330000000001</v>
      </c>
      <c r="O362">
        <v>100</v>
      </c>
      <c r="P362">
        <v>100</v>
      </c>
      <c r="Q362" t="s">
        <v>33</v>
      </c>
      <c r="R362" t="s">
        <v>33</v>
      </c>
      <c r="S362" t="s">
        <v>33</v>
      </c>
      <c r="T362" t="s">
        <v>33</v>
      </c>
      <c r="U362" t="s">
        <v>33</v>
      </c>
      <c r="V362" t="s">
        <v>33</v>
      </c>
      <c r="W362" t="s">
        <v>33</v>
      </c>
      <c r="X362" t="s">
        <v>33</v>
      </c>
      <c r="Y362" t="s">
        <v>33</v>
      </c>
      <c r="Z362" t="s">
        <v>33</v>
      </c>
      <c r="AA362" t="s">
        <v>33</v>
      </c>
      <c r="AB362" t="s">
        <v>33</v>
      </c>
      <c r="AC362" t="s">
        <v>33</v>
      </c>
      <c r="AD362" t="s">
        <v>33</v>
      </c>
    </row>
    <row r="363" spans="1:30" x14ac:dyDescent="0.2">
      <c r="A363" t="s">
        <v>30</v>
      </c>
      <c r="B363" t="s">
        <v>1</v>
      </c>
      <c r="C363" t="s">
        <v>2</v>
      </c>
      <c r="D363" t="s">
        <v>101</v>
      </c>
      <c r="E363" t="s">
        <v>177</v>
      </c>
      <c r="F363" t="s">
        <v>1</v>
      </c>
      <c r="G363" t="s">
        <v>32</v>
      </c>
      <c r="I363" t="s">
        <v>35</v>
      </c>
      <c r="J363" t="s">
        <v>36</v>
      </c>
      <c r="K363" t="s">
        <v>37</v>
      </c>
      <c r="L363">
        <v>10000</v>
      </c>
      <c r="M363">
        <v>3</v>
      </c>
      <c r="N363">
        <v>3333.3330000000001</v>
      </c>
      <c r="O363">
        <v>100</v>
      </c>
      <c r="P363">
        <v>100</v>
      </c>
      <c r="Q363">
        <v>333055</v>
      </c>
      <c r="R363">
        <v>88377</v>
      </c>
      <c r="S363">
        <v>332378</v>
      </c>
      <c r="T363">
        <v>83869</v>
      </c>
      <c r="U363">
        <v>263122</v>
      </c>
      <c r="V363">
        <v>72809</v>
      </c>
      <c r="W363">
        <v>76500.479999999996</v>
      </c>
      <c r="X363">
        <v>29860.81</v>
      </c>
      <c r="Y363">
        <v>22.97</v>
      </c>
      <c r="Z363">
        <v>33.79</v>
      </c>
      <c r="AA363">
        <v>93252.57</v>
      </c>
      <c r="AB363">
        <v>28322.85</v>
      </c>
      <c r="AC363">
        <v>28.06</v>
      </c>
      <c r="AD363">
        <v>33.770000000000003</v>
      </c>
    </row>
    <row r="364" spans="1:30" x14ac:dyDescent="0.2">
      <c r="A364" t="s">
        <v>30</v>
      </c>
      <c r="B364" t="s">
        <v>1</v>
      </c>
      <c r="C364" t="s">
        <v>2</v>
      </c>
      <c r="D364" t="s">
        <v>101</v>
      </c>
      <c r="E364" t="s">
        <v>177</v>
      </c>
      <c r="F364" t="s">
        <v>1</v>
      </c>
      <c r="G364" t="s">
        <v>32</v>
      </c>
      <c r="I364" t="s">
        <v>38</v>
      </c>
      <c r="J364" t="s">
        <v>36</v>
      </c>
      <c r="K364" t="s">
        <v>39</v>
      </c>
      <c r="L364">
        <v>5708</v>
      </c>
      <c r="M364">
        <v>3</v>
      </c>
      <c r="N364">
        <v>1902.6669999999999</v>
      </c>
      <c r="O364">
        <v>57.08</v>
      </c>
      <c r="P364">
        <v>57.08</v>
      </c>
      <c r="Q364">
        <v>328715</v>
      </c>
      <c r="R364">
        <v>91</v>
      </c>
      <c r="S364">
        <v>327072</v>
      </c>
      <c r="T364">
        <v>91</v>
      </c>
      <c r="U364">
        <v>269125</v>
      </c>
      <c r="V364">
        <v>88</v>
      </c>
      <c r="W364">
        <v>77038.83</v>
      </c>
      <c r="X364">
        <v>6.78</v>
      </c>
      <c r="Y364">
        <v>23.44</v>
      </c>
      <c r="Z364">
        <v>7.45</v>
      </c>
      <c r="AA364">
        <v>92930.11</v>
      </c>
      <c r="AB364">
        <v>7.41</v>
      </c>
      <c r="AC364">
        <v>28.41</v>
      </c>
      <c r="AD364">
        <v>8.15</v>
      </c>
    </row>
    <row r="365" spans="1:30" x14ac:dyDescent="0.2">
      <c r="A365" t="s">
        <v>30</v>
      </c>
      <c r="B365" t="s">
        <v>1</v>
      </c>
      <c r="C365" t="s">
        <v>2</v>
      </c>
      <c r="D365" t="s">
        <v>101</v>
      </c>
      <c r="E365" t="s">
        <v>177</v>
      </c>
      <c r="F365" t="s">
        <v>1</v>
      </c>
      <c r="G365" t="s">
        <v>32</v>
      </c>
      <c r="I365" t="s">
        <v>35</v>
      </c>
      <c r="J365" t="s">
        <v>36</v>
      </c>
      <c r="K365" t="s">
        <v>39</v>
      </c>
      <c r="L365">
        <v>10000</v>
      </c>
      <c r="M365">
        <v>3</v>
      </c>
      <c r="N365">
        <v>3333.3330000000001</v>
      </c>
      <c r="O365">
        <v>100</v>
      </c>
      <c r="P365">
        <v>100</v>
      </c>
      <c r="Q365">
        <v>333055</v>
      </c>
      <c r="R365">
        <v>97</v>
      </c>
      <c r="S365">
        <v>332378</v>
      </c>
      <c r="T365">
        <v>97</v>
      </c>
      <c r="U365">
        <v>263122</v>
      </c>
      <c r="V365">
        <v>99</v>
      </c>
      <c r="W365">
        <v>76500.479999999996</v>
      </c>
      <c r="X365">
        <v>9.83</v>
      </c>
      <c r="Y365">
        <v>22.97</v>
      </c>
      <c r="Z365">
        <v>10.119999999999999</v>
      </c>
      <c r="AA365">
        <v>93252.57</v>
      </c>
      <c r="AB365">
        <v>10.38</v>
      </c>
      <c r="AC365">
        <v>28.06</v>
      </c>
      <c r="AD365">
        <v>10.7</v>
      </c>
    </row>
    <row r="366" spans="1:30" x14ac:dyDescent="0.2">
      <c r="A366" t="s">
        <v>30</v>
      </c>
      <c r="B366" t="s">
        <v>1</v>
      </c>
      <c r="C366" t="s">
        <v>2</v>
      </c>
      <c r="D366" t="s">
        <v>101</v>
      </c>
      <c r="E366" t="s">
        <v>177</v>
      </c>
      <c r="F366" t="s">
        <v>1</v>
      </c>
      <c r="G366" t="s">
        <v>32</v>
      </c>
      <c r="I366" t="s">
        <v>38</v>
      </c>
      <c r="J366" t="s">
        <v>40</v>
      </c>
      <c r="L366">
        <v>5708</v>
      </c>
      <c r="M366">
        <v>3</v>
      </c>
      <c r="N366">
        <v>1902.6669999999999</v>
      </c>
      <c r="O366">
        <v>57.08</v>
      </c>
      <c r="P366">
        <v>57.08</v>
      </c>
      <c r="Q366">
        <v>172</v>
      </c>
      <c r="R366" t="s">
        <v>33</v>
      </c>
      <c r="S366">
        <v>162</v>
      </c>
      <c r="T366" t="s">
        <v>33</v>
      </c>
      <c r="U366">
        <v>157</v>
      </c>
      <c r="V366" t="s">
        <v>33</v>
      </c>
      <c r="W366">
        <v>71.78</v>
      </c>
      <c r="X366" t="s">
        <v>33</v>
      </c>
      <c r="Y366">
        <v>41.64</v>
      </c>
      <c r="Z366" t="s">
        <v>33</v>
      </c>
      <c r="AA366">
        <v>68.2</v>
      </c>
      <c r="AB366" t="s">
        <v>33</v>
      </c>
      <c r="AC366">
        <v>42.1</v>
      </c>
      <c r="AD366" t="s">
        <v>33</v>
      </c>
    </row>
    <row r="367" spans="1:30" x14ac:dyDescent="0.2">
      <c r="A367" t="s">
        <v>30</v>
      </c>
      <c r="B367" t="s">
        <v>1</v>
      </c>
      <c r="C367" t="s">
        <v>2</v>
      </c>
      <c r="D367" t="s">
        <v>101</v>
      </c>
      <c r="E367" t="s">
        <v>177</v>
      </c>
      <c r="F367" t="s">
        <v>1</v>
      </c>
      <c r="G367" t="s">
        <v>32</v>
      </c>
      <c r="I367" t="s">
        <v>38</v>
      </c>
      <c r="J367" t="s">
        <v>41</v>
      </c>
      <c r="L367">
        <v>5708</v>
      </c>
      <c r="M367">
        <v>3</v>
      </c>
      <c r="N367">
        <v>1902.6669999999999</v>
      </c>
      <c r="O367">
        <v>57.08</v>
      </c>
      <c r="P367">
        <v>57.08</v>
      </c>
      <c r="Q367">
        <v>316</v>
      </c>
      <c r="R367" t="s">
        <v>33</v>
      </c>
      <c r="S367">
        <v>270</v>
      </c>
      <c r="T367" t="s">
        <v>33</v>
      </c>
      <c r="U367">
        <v>246</v>
      </c>
      <c r="V367" t="s">
        <v>33</v>
      </c>
      <c r="W367">
        <v>329.63</v>
      </c>
      <c r="X367" t="s">
        <v>33</v>
      </c>
      <c r="Y367">
        <v>104.17</v>
      </c>
      <c r="Z367" t="s">
        <v>33</v>
      </c>
      <c r="AA367">
        <v>146.78</v>
      </c>
      <c r="AB367" t="s">
        <v>33</v>
      </c>
      <c r="AC367">
        <v>54.36</v>
      </c>
      <c r="AD367" t="s">
        <v>33</v>
      </c>
    </row>
    <row r="368" spans="1:30" x14ac:dyDescent="0.2">
      <c r="A368" t="s">
        <v>30</v>
      </c>
      <c r="B368" t="s">
        <v>1</v>
      </c>
      <c r="C368" t="s">
        <v>2</v>
      </c>
      <c r="D368" t="s">
        <v>102</v>
      </c>
      <c r="E368" t="s">
        <v>178</v>
      </c>
      <c r="F368" t="s">
        <v>1</v>
      </c>
      <c r="G368" t="s">
        <v>32</v>
      </c>
      <c r="H368" t="s">
        <v>33</v>
      </c>
      <c r="I368" t="s">
        <v>34</v>
      </c>
      <c r="J368" t="s">
        <v>33</v>
      </c>
      <c r="K368" t="s">
        <v>33</v>
      </c>
      <c r="L368">
        <v>10000</v>
      </c>
      <c r="M368">
        <v>3</v>
      </c>
      <c r="N368">
        <v>3333.3330000000001</v>
      </c>
      <c r="O368">
        <v>100</v>
      </c>
      <c r="P368">
        <v>100</v>
      </c>
      <c r="Q368" t="s">
        <v>33</v>
      </c>
      <c r="R368" t="s">
        <v>33</v>
      </c>
      <c r="S368" t="s">
        <v>33</v>
      </c>
      <c r="T368" t="s">
        <v>33</v>
      </c>
      <c r="U368" t="s">
        <v>33</v>
      </c>
      <c r="V368" t="s">
        <v>33</v>
      </c>
      <c r="W368" t="s">
        <v>33</v>
      </c>
      <c r="X368" t="s">
        <v>33</v>
      </c>
      <c r="Y368" t="s">
        <v>33</v>
      </c>
      <c r="Z368" t="s">
        <v>33</v>
      </c>
      <c r="AA368" t="s">
        <v>33</v>
      </c>
      <c r="AB368" t="s">
        <v>33</v>
      </c>
      <c r="AC368" t="s">
        <v>33</v>
      </c>
      <c r="AD368" t="s">
        <v>33</v>
      </c>
    </row>
    <row r="369" spans="1:30" x14ac:dyDescent="0.2">
      <c r="A369" t="s">
        <v>30</v>
      </c>
      <c r="B369" t="s">
        <v>1</v>
      </c>
      <c r="C369" t="s">
        <v>2</v>
      </c>
      <c r="D369" t="s">
        <v>102</v>
      </c>
      <c r="E369" t="s">
        <v>178</v>
      </c>
      <c r="F369" t="s">
        <v>1</v>
      </c>
      <c r="G369" t="s">
        <v>32</v>
      </c>
      <c r="I369" t="s">
        <v>35</v>
      </c>
      <c r="J369" t="s">
        <v>36</v>
      </c>
      <c r="K369" t="s">
        <v>37</v>
      </c>
      <c r="L369">
        <v>10000</v>
      </c>
      <c r="M369">
        <v>3</v>
      </c>
      <c r="N369">
        <v>3333.3330000000001</v>
      </c>
      <c r="O369">
        <v>100</v>
      </c>
      <c r="P369">
        <v>100</v>
      </c>
      <c r="Q369">
        <v>323382</v>
      </c>
      <c r="R369">
        <v>85931</v>
      </c>
      <c r="S369">
        <v>316067</v>
      </c>
      <c r="T369">
        <v>81299</v>
      </c>
      <c r="U369">
        <v>275412</v>
      </c>
      <c r="V369">
        <v>76719</v>
      </c>
      <c r="W369">
        <v>76855.61</v>
      </c>
      <c r="X369">
        <v>29497.13</v>
      </c>
      <c r="Y369">
        <v>23.77</v>
      </c>
      <c r="Z369">
        <v>34.33</v>
      </c>
      <c r="AA369">
        <v>89996.78</v>
      </c>
      <c r="AB369">
        <v>27707.57</v>
      </c>
      <c r="AC369">
        <v>28.47</v>
      </c>
      <c r="AD369">
        <v>34.08</v>
      </c>
    </row>
    <row r="370" spans="1:30" x14ac:dyDescent="0.2">
      <c r="A370" t="s">
        <v>30</v>
      </c>
      <c r="B370" t="s">
        <v>1</v>
      </c>
      <c r="C370" t="s">
        <v>2</v>
      </c>
      <c r="D370" t="s">
        <v>102</v>
      </c>
      <c r="E370" t="s">
        <v>178</v>
      </c>
      <c r="F370" t="s">
        <v>1</v>
      </c>
      <c r="G370" t="s">
        <v>32</v>
      </c>
      <c r="I370" t="s">
        <v>38</v>
      </c>
      <c r="J370" t="s">
        <v>36</v>
      </c>
      <c r="K370" t="s">
        <v>39</v>
      </c>
      <c r="L370">
        <v>4883</v>
      </c>
      <c r="M370">
        <v>3</v>
      </c>
      <c r="N370">
        <v>1627.6669999999999</v>
      </c>
      <c r="O370">
        <v>48.83</v>
      </c>
      <c r="P370">
        <v>48.83</v>
      </c>
      <c r="Q370">
        <v>323294</v>
      </c>
      <c r="R370">
        <v>90</v>
      </c>
      <c r="S370">
        <v>315305</v>
      </c>
      <c r="T370">
        <v>89</v>
      </c>
      <c r="U370">
        <v>283904</v>
      </c>
      <c r="V370">
        <v>88</v>
      </c>
      <c r="W370">
        <v>77820.429999999993</v>
      </c>
      <c r="X370">
        <v>6.9</v>
      </c>
      <c r="Y370">
        <v>24.07</v>
      </c>
      <c r="Z370">
        <v>7.69</v>
      </c>
      <c r="AA370">
        <v>90291.82</v>
      </c>
      <c r="AB370">
        <v>7.41</v>
      </c>
      <c r="AC370">
        <v>28.64</v>
      </c>
      <c r="AD370">
        <v>8.33</v>
      </c>
    </row>
    <row r="371" spans="1:30" x14ac:dyDescent="0.2">
      <c r="A371" t="s">
        <v>30</v>
      </c>
      <c r="B371" t="s">
        <v>1</v>
      </c>
      <c r="C371" t="s">
        <v>2</v>
      </c>
      <c r="D371" t="s">
        <v>102</v>
      </c>
      <c r="E371" t="s">
        <v>178</v>
      </c>
      <c r="F371" t="s">
        <v>1</v>
      </c>
      <c r="G371" t="s">
        <v>32</v>
      </c>
      <c r="I371" t="s">
        <v>35</v>
      </c>
      <c r="J371" t="s">
        <v>36</v>
      </c>
      <c r="K371" t="s">
        <v>39</v>
      </c>
      <c r="L371">
        <v>10000</v>
      </c>
      <c r="M371">
        <v>3</v>
      </c>
      <c r="N371">
        <v>3333.3330000000001</v>
      </c>
      <c r="O371">
        <v>100</v>
      </c>
      <c r="P371">
        <v>100</v>
      </c>
      <c r="Q371">
        <v>323382</v>
      </c>
      <c r="R371">
        <v>97</v>
      </c>
      <c r="S371">
        <v>316067</v>
      </c>
      <c r="T371">
        <v>97</v>
      </c>
      <c r="U371">
        <v>275412</v>
      </c>
      <c r="V371">
        <v>99</v>
      </c>
      <c r="W371">
        <v>76855.61</v>
      </c>
      <c r="X371">
        <v>10.050000000000001</v>
      </c>
      <c r="Y371">
        <v>23.77</v>
      </c>
      <c r="Z371">
        <v>10.39</v>
      </c>
      <c r="AA371">
        <v>89996.78</v>
      </c>
      <c r="AB371">
        <v>11.86</v>
      </c>
      <c r="AC371">
        <v>28.47</v>
      </c>
      <c r="AD371">
        <v>12.23</v>
      </c>
    </row>
    <row r="372" spans="1:30" x14ac:dyDescent="0.2">
      <c r="A372" t="s">
        <v>30</v>
      </c>
      <c r="B372" t="s">
        <v>1</v>
      </c>
      <c r="C372" t="s">
        <v>2</v>
      </c>
      <c r="D372" t="s">
        <v>102</v>
      </c>
      <c r="E372" t="s">
        <v>178</v>
      </c>
      <c r="F372" t="s">
        <v>1</v>
      </c>
      <c r="G372" t="s">
        <v>32</v>
      </c>
      <c r="I372" t="s">
        <v>38</v>
      </c>
      <c r="J372" t="s">
        <v>40</v>
      </c>
      <c r="L372">
        <v>4883</v>
      </c>
      <c r="M372">
        <v>3</v>
      </c>
      <c r="N372">
        <v>1627.6669999999999</v>
      </c>
      <c r="O372">
        <v>48.83</v>
      </c>
      <c r="P372">
        <v>48.83</v>
      </c>
      <c r="Q372">
        <v>168</v>
      </c>
      <c r="R372" t="s">
        <v>33</v>
      </c>
      <c r="S372">
        <v>158</v>
      </c>
      <c r="T372" t="s">
        <v>33</v>
      </c>
      <c r="U372">
        <v>180</v>
      </c>
      <c r="V372" t="s">
        <v>33</v>
      </c>
      <c r="W372">
        <v>69.849999999999994</v>
      </c>
      <c r="X372" t="s">
        <v>33</v>
      </c>
      <c r="Y372">
        <v>41.55</v>
      </c>
      <c r="Z372" t="s">
        <v>33</v>
      </c>
      <c r="AA372">
        <v>65.23</v>
      </c>
      <c r="AB372" t="s">
        <v>33</v>
      </c>
      <c r="AC372">
        <v>41.29</v>
      </c>
      <c r="AD372" t="s">
        <v>33</v>
      </c>
    </row>
    <row r="373" spans="1:30" x14ac:dyDescent="0.2">
      <c r="A373" t="s">
        <v>30</v>
      </c>
      <c r="B373" t="s">
        <v>1</v>
      </c>
      <c r="C373" t="s">
        <v>2</v>
      </c>
      <c r="D373" t="s">
        <v>102</v>
      </c>
      <c r="E373" t="s">
        <v>178</v>
      </c>
      <c r="F373" t="s">
        <v>1</v>
      </c>
      <c r="G373" t="s">
        <v>32</v>
      </c>
      <c r="I373" t="s">
        <v>38</v>
      </c>
      <c r="J373" t="s">
        <v>41</v>
      </c>
      <c r="L373">
        <v>4883</v>
      </c>
      <c r="M373">
        <v>3</v>
      </c>
      <c r="N373">
        <v>1627.6669999999999</v>
      </c>
      <c r="O373">
        <v>48.83</v>
      </c>
      <c r="P373">
        <v>48.83</v>
      </c>
      <c r="Q373">
        <v>319</v>
      </c>
      <c r="R373" t="s">
        <v>33</v>
      </c>
      <c r="S373">
        <v>272</v>
      </c>
      <c r="T373" t="s">
        <v>33</v>
      </c>
      <c r="U373">
        <v>309</v>
      </c>
      <c r="V373" t="s">
        <v>33</v>
      </c>
      <c r="W373">
        <v>390.59</v>
      </c>
      <c r="X373" t="s">
        <v>33</v>
      </c>
      <c r="Y373">
        <v>122.55</v>
      </c>
      <c r="Z373" t="s">
        <v>33</v>
      </c>
      <c r="AA373">
        <v>145.29</v>
      </c>
      <c r="AB373" t="s">
        <v>33</v>
      </c>
      <c r="AC373">
        <v>53.42</v>
      </c>
      <c r="AD373" t="s">
        <v>33</v>
      </c>
    </row>
    <row r="374" spans="1:30" x14ac:dyDescent="0.2">
      <c r="A374" t="s">
        <v>30</v>
      </c>
      <c r="B374" t="s">
        <v>1</v>
      </c>
      <c r="C374" t="s">
        <v>2</v>
      </c>
      <c r="D374" t="s">
        <v>103</v>
      </c>
      <c r="E374" t="s">
        <v>179</v>
      </c>
      <c r="F374" t="s">
        <v>1</v>
      </c>
      <c r="G374" t="s">
        <v>32</v>
      </c>
      <c r="H374" t="s">
        <v>33</v>
      </c>
      <c r="I374" t="s">
        <v>34</v>
      </c>
      <c r="J374" t="s">
        <v>33</v>
      </c>
      <c r="K374" t="s">
        <v>33</v>
      </c>
      <c r="L374">
        <v>10000</v>
      </c>
      <c r="M374">
        <v>8</v>
      </c>
      <c r="N374">
        <v>1250</v>
      </c>
      <c r="O374">
        <v>100</v>
      </c>
      <c r="P374">
        <v>100</v>
      </c>
      <c r="Q374" t="s">
        <v>33</v>
      </c>
      <c r="R374" t="s">
        <v>33</v>
      </c>
      <c r="S374" t="s">
        <v>33</v>
      </c>
      <c r="T374" t="s">
        <v>33</v>
      </c>
      <c r="U374" t="s">
        <v>33</v>
      </c>
      <c r="V374" t="s">
        <v>33</v>
      </c>
      <c r="W374" t="s">
        <v>33</v>
      </c>
      <c r="X374" t="s">
        <v>33</v>
      </c>
      <c r="Y374" t="s">
        <v>33</v>
      </c>
      <c r="Z374" t="s">
        <v>33</v>
      </c>
      <c r="AA374" t="s">
        <v>33</v>
      </c>
      <c r="AB374" t="s">
        <v>33</v>
      </c>
      <c r="AC374" t="s">
        <v>33</v>
      </c>
      <c r="AD374" t="s">
        <v>33</v>
      </c>
    </row>
    <row r="375" spans="1:30" x14ac:dyDescent="0.2">
      <c r="A375" t="s">
        <v>30</v>
      </c>
      <c r="B375" t="s">
        <v>1</v>
      </c>
      <c r="C375" t="s">
        <v>2</v>
      </c>
      <c r="D375" t="s">
        <v>103</v>
      </c>
      <c r="E375" t="s">
        <v>179</v>
      </c>
      <c r="F375" t="s">
        <v>1</v>
      </c>
      <c r="G375" t="s">
        <v>32</v>
      </c>
      <c r="I375" t="s">
        <v>35</v>
      </c>
      <c r="J375" t="s">
        <v>36</v>
      </c>
      <c r="K375" t="s">
        <v>37</v>
      </c>
      <c r="L375">
        <v>10000</v>
      </c>
      <c r="M375">
        <v>8</v>
      </c>
      <c r="N375">
        <v>1250</v>
      </c>
      <c r="O375">
        <v>100</v>
      </c>
      <c r="P375">
        <v>100</v>
      </c>
      <c r="Q375">
        <v>352465</v>
      </c>
      <c r="R375">
        <v>94129</v>
      </c>
      <c r="S375">
        <v>361818</v>
      </c>
      <c r="T375">
        <v>90690</v>
      </c>
      <c r="U375">
        <v>445495</v>
      </c>
      <c r="V375">
        <v>82917</v>
      </c>
      <c r="W375">
        <v>82995.520000000004</v>
      </c>
      <c r="X375">
        <v>29235.96</v>
      </c>
      <c r="Y375">
        <v>23.55</v>
      </c>
      <c r="Z375">
        <v>31.06</v>
      </c>
      <c r="AA375">
        <v>101543.27</v>
      </c>
      <c r="AB375">
        <v>27968.51</v>
      </c>
      <c r="AC375">
        <v>28.06</v>
      </c>
      <c r="AD375">
        <v>30.84</v>
      </c>
    </row>
    <row r="376" spans="1:30" x14ac:dyDescent="0.2">
      <c r="A376" t="s">
        <v>30</v>
      </c>
      <c r="B376" t="s">
        <v>1</v>
      </c>
      <c r="C376" t="s">
        <v>2</v>
      </c>
      <c r="D376" t="s">
        <v>103</v>
      </c>
      <c r="E376" t="s">
        <v>179</v>
      </c>
      <c r="F376" t="s">
        <v>1</v>
      </c>
      <c r="G376" t="s">
        <v>32</v>
      </c>
      <c r="I376" t="s">
        <v>38</v>
      </c>
      <c r="J376" t="s">
        <v>36</v>
      </c>
      <c r="K376" t="s">
        <v>39</v>
      </c>
      <c r="L376">
        <v>5089</v>
      </c>
      <c r="M376">
        <v>8</v>
      </c>
      <c r="N376">
        <v>636.125</v>
      </c>
      <c r="O376">
        <v>50.89</v>
      </c>
      <c r="P376">
        <v>50.89</v>
      </c>
      <c r="Q376">
        <v>356579</v>
      </c>
      <c r="R376">
        <v>92</v>
      </c>
      <c r="S376">
        <v>367069</v>
      </c>
      <c r="T376">
        <v>92</v>
      </c>
      <c r="U376">
        <v>416767</v>
      </c>
      <c r="V376">
        <v>92</v>
      </c>
      <c r="W376">
        <v>82291.25</v>
      </c>
      <c r="X376">
        <v>7.11</v>
      </c>
      <c r="Y376">
        <v>23.08</v>
      </c>
      <c r="Z376">
        <v>7.71</v>
      </c>
      <c r="AA376">
        <v>97661.83</v>
      </c>
      <c r="AB376">
        <v>7.41</v>
      </c>
      <c r="AC376">
        <v>26.61</v>
      </c>
      <c r="AD376">
        <v>8.06</v>
      </c>
    </row>
    <row r="377" spans="1:30" x14ac:dyDescent="0.2">
      <c r="A377" t="s">
        <v>30</v>
      </c>
      <c r="B377" t="s">
        <v>1</v>
      </c>
      <c r="C377" t="s">
        <v>2</v>
      </c>
      <c r="D377" t="s">
        <v>103</v>
      </c>
      <c r="E377" t="s">
        <v>179</v>
      </c>
      <c r="F377" t="s">
        <v>1</v>
      </c>
      <c r="G377" t="s">
        <v>32</v>
      </c>
      <c r="I377" t="s">
        <v>35</v>
      </c>
      <c r="J377" t="s">
        <v>36</v>
      </c>
      <c r="K377" t="s">
        <v>39</v>
      </c>
      <c r="L377">
        <v>10000</v>
      </c>
      <c r="M377">
        <v>8</v>
      </c>
      <c r="N377">
        <v>1250</v>
      </c>
      <c r="O377">
        <v>100</v>
      </c>
      <c r="P377">
        <v>100</v>
      </c>
      <c r="Q377">
        <v>352465</v>
      </c>
      <c r="R377">
        <v>98</v>
      </c>
      <c r="S377">
        <v>361818</v>
      </c>
      <c r="T377">
        <v>98</v>
      </c>
      <c r="U377">
        <v>445495</v>
      </c>
      <c r="V377">
        <v>97</v>
      </c>
      <c r="W377">
        <v>82995.520000000004</v>
      </c>
      <c r="X377">
        <v>9.5</v>
      </c>
      <c r="Y377">
        <v>23.55</v>
      </c>
      <c r="Z377">
        <v>9.69</v>
      </c>
      <c r="AA377">
        <v>101543.27</v>
      </c>
      <c r="AB377">
        <v>10.38</v>
      </c>
      <c r="AC377">
        <v>28.06</v>
      </c>
      <c r="AD377">
        <v>10.59</v>
      </c>
    </row>
    <row r="378" spans="1:30" x14ac:dyDescent="0.2">
      <c r="A378" t="s">
        <v>30</v>
      </c>
      <c r="B378" t="s">
        <v>1</v>
      </c>
      <c r="C378" t="s">
        <v>2</v>
      </c>
      <c r="D378" t="s">
        <v>103</v>
      </c>
      <c r="E378" t="s">
        <v>179</v>
      </c>
      <c r="F378" t="s">
        <v>1</v>
      </c>
      <c r="G378" t="s">
        <v>32</v>
      </c>
      <c r="I378" t="s">
        <v>38</v>
      </c>
      <c r="J378" t="s">
        <v>40</v>
      </c>
      <c r="L378">
        <v>5089</v>
      </c>
      <c r="M378">
        <v>8</v>
      </c>
      <c r="N378">
        <v>636.125</v>
      </c>
      <c r="O378">
        <v>50.89</v>
      </c>
      <c r="P378">
        <v>50.89</v>
      </c>
      <c r="Q378">
        <v>450</v>
      </c>
      <c r="R378" t="s">
        <v>33</v>
      </c>
      <c r="S378">
        <v>421</v>
      </c>
      <c r="T378" t="s">
        <v>33</v>
      </c>
      <c r="U378">
        <v>389</v>
      </c>
      <c r="V378" t="s">
        <v>33</v>
      </c>
      <c r="W378">
        <v>185.99</v>
      </c>
      <c r="X378" t="s">
        <v>33</v>
      </c>
      <c r="Y378">
        <v>41.35</v>
      </c>
      <c r="Z378" t="s">
        <v>33</v>
      </c>
      <c r="AA378">
        <v>169.02</v>
      </c>
      <c r="AB378" t="s">
        <v>33</v>
      </c>
      <c r="AC378">
        <v>40.15</v>
      </c>
      <c r="AD378" t="s">
        <v>33</v>
      </c>
    </row>
    <row r="379" spans="1:30" x14ac:dyDescent="0.2">
      <c r="A379" t="s">
        <v>30</v>
      </c>
      <c r="B379" t="s">
        <v>1</v>
      </c>
      <c r="C379" t="s">
        <v>2</v>
      </c>
      <c r="D379" t="s">
        <v>103</v>
      </c>
      <c r="E379" t="s">
        <v>179</v>
      </c>
      <c r="F379" t="s">
        <v>1</v>
      </c>
      <c r="G379" t="s">
        <v>32</v>
      </c>
      <c r="I379" t="s">
        <v>38</v>
      </c>
      <c r="J379" t="s">
        <v>41</v>
      </c>
      <c r="L379">
        <v>5089</v>
      </c>
      <c r="M379">
        <v>8</v>
      </c>
      <c r="N379">
        <v>636.125</v>
      </c>
      <c r="O379">
        <v>50.89</v>
      </c>
      <c r="P379">
        <v>50.89</v>
      </c>
      <c r="Q379">
        <v>18263</v>
      </c>
      <c r="R379" t="s">
        <v>33</v>
      </c>
      <c r="S379">
        <v>17453</v>
      </c>
      <c r="T379" t="s">
        <v>33</v>
      </c>
      <c r="U379">
        <v>17472</v>
      </c>
      <c r="V379" t="s">
        <v>33</v>
      </c>
      <c r="W379">
        <v>6967.35</v>
      </c>
      <c r="X379" t="s">
        <v>33</v>
      </c>
      <c r="Y379">
        <v>38.15</v>
      </c>
      <c r="Z379" t="s">
        <v>33</v>
      </c>
      <c r="AA379">
        <v>6263.98</v>
      </c>
      <c r="AB379" t="s">
        <v>33</v>
      </c>
      <c r="AC379">
        <v>35.89</v>
      </c>
      <c r="AD379" t="s">
        <v>33</v>
      </c>
    </row>
    <row r="380" spans="1:30" x14ac:dyDescent="0.2">
      <c r="A380" t="s">
        <v>30</v>
      </c>
      <c r="B380" t="s">
        <v>1</v>
      </c>
      <c r="C380" t="s">
        <v>2</v>
      </c>
      <c r="D380" t="s">
        <v>104</v>
      </c>
      <c r="E380" t="s">
        <v>180</v>
      </c>
      <c r="F380" t="s">
        <v>1</v>
      </c>
      <c r="G380" t="s">
        <v>32</v>
      </c>
      <c r="H380" t="s">
        <v>33</v>
      </c>
      <c r="I380" t="s">
        <v>34</v>
      </c>
      <c r="J380" t="s">
        <v>33</v>
      </c>
      <c r="K380" t="s">
        <v>33</v>
      </c>
      <c r="L380">
        <v>10000</v>
      </c>
      <c r="M380">
        <v>15</v>
      </c>
      <c r="N380">
        <v>666.66700000000003</v>
      </c>
      <c r="O380">
        <v>100</v>
      </c>
      <c r="P380">
        <v>100</v>
      </c>
      <c r="Q380" t="s">
        <v>33</v>
      </c>
      <c r="R380" t="s">
        <v>33</v>
      </c>
      <c r="S380" t="s">
        <v>33</v>
      </c>
      <c r="T380" t="s">
        <v>33</v>
      </c>
      <c r="U380" t="s">
        <v>33</v>
      </c>
      <c r="V380" t="s">
        <v>33</v>
      </c>
      <c r="W380" t="s">
        <v>33</v>
      </c>
      <c r="X380" t="s">
        <v>33</v>
      </c>
      <c r="Y380" t="s">
        <v>33</v>
      </c>
      <c r="Z380" t="s">
        <v>33</v>
      </c>
      <c r="AA380" t="s">
        <v>33</v>
      </c>
      <c r="AB380" t="s">
        <v>33</v>
      </c>
      <c r="AC380" t="s">
        <v>33</v>
      </c>
      <c r="AD380" t="s">
        <v>33</v>
      </c>
    </row>
    <row r="381" spans="1:30" x14ac:dyDescent="0.2">
      <c r="A381" t="s">
        <v>30</v>
      </c>
      <c r="B381" t="s">
        <v>1</v>
      </c>
      <c r="C381" t="s">
        <v>2</v>
      </c>
      <c r="D381" t="s">
        <v>104</v>
      </c>
      <c r="E381" t="s">
        <v>180</v>
      </c>
      <c r="F381" t="s">
        <v>1</v>
      </c>
      <c r="G381" t="s">
        <v>32</v>
      </c>
      <c r="I381" t="s">
        <v>35</v>
      </c>
      <c r="J381" t="s">
        <v>36</v>
      </c>
      <c r="K381" t="s">
        <v>37</v>
      </c>
      <c r="L381">
        <v>10000</v>
      </c>
      <c r="M381">
        <v>15</v>
      </c>
      <c r="N381">
        <v>666.66700000000003</v>
      </c>
      <c r="O381">
        <v>100</v>
      </c>
      <c r="P381">
        <v>100</v>
      </c>
      <c r="Q381">
        <v>370206</v>
      </c>
      <c r="R381">
        <v>101240</v>
      </c>
      <c r="S381">
        <v>378352</v>
      </c>
      <c r="T381">
        <v>97608</v>
      </c>
      <c r="U381">
        <v>435275</v>
      </c>
      <c r="V381">
        <v>101339</v>
      </c>
      <c r="W381">
        <v>75007.67</v>
      </c>
      <c r="X381">
        <v>30357.75</v>
      </c>
      <c r="Y381">
        <v>20.260000000000002</v>
      </c>
      <c r="Z381">
        <v>29.99</v>
      </c>
      <c r="AA381">
        <v>87829.96</v>
      </c>
      <c r="AB381">
        <v>26781.69</v>
      </c>
      <c r="AC381">
        <v>23.21</v>
      </c>
      <c r="AD381">
        <v>27.44</v>
      </c>
    </row>
    <row r="382" spans="1:30" x14ac:dyDescent="0.2">
      <c r="A382" t="s">
        <v>30</v>
      </c>
      <c r="B382" t="s">
        <v>1</v>
      </c>
      <c r="C382" t="s">
        <v>2</v>
      </c>
      <c r="D382" t="s">
        <v>104</v>
      </c>
      <c r="E382" t="s">
        <v>180</v>
      </c>
      <c r="F382" t="s">
        <v>1</v>
      </c>
      <c r="G382" t="s">
        <v>32</v>
      </c>
      <c r="I382" t="s">
        <v>38</v>
      </c>
      <c r="J382" t="s">
        <v>36</v>
      </c>
      <c r="K382" t="s">
        <v>39</v>
      </c>
      <c r="L382">
        <v>5054</v>
      </c>
      <c r="M382">
        <v>15</v>
      </c>
      <c r="N382">
        <v>336.93299999999999</v>
      </c>
      <c r="O382">
        <v>50.54</v>
      </c>
      <c r="P382">
        <v>50.54</v>
      </c>
      <c r="Q382">
        <v>372888</v>
      </c>
      <c r="R382">
        <v>94</v>
      </c>
      <c r="S382">
        <v>380892</v>
      </c>
      <c r="T382">
        <v>94</v>
      </c>
      <c r="U382">
        <v>414724</v>
      </c>
      <c r="V382">
        <v>96</v>
      </c>
      <c r="W382">
        <v>74668.12</v>
      </c>
      <c r="X382">
        <v>6.64</v>
      </c>
      <c r="Y382">
        <v>20.02</v>
      </c>
      <c r="Z382">
        <v>7.09</v>
      </c>
      <c r="AA382">
        <v>85812.15</v>
      </c>
      <c r="AB382">
        <v>7.41</v>
      </c>
      <c r="AC382">
        <v>22.53</v>
      </c>
      <c r="AD382">
        <v>7.89</v>
      </c>
    </row>
    <row r="383" spans="1:30" x14ac:dyDescent="0.2">
      <c r="A383" t="s">
        <v>30</v>
      </c>
      <c r="B383" t="s">
        <v>1</v>
      </c>
      <c r="C383" t="s">
        <v>2</v>
      </c>
      <c r="D383" t="s">
        <v>104</v>
      </c>
      <c r="E383" t="s">
        <v>180</v>
      </c>
      <c r="F383" t="s">
        <v>1</v>
      </c>
      <c r="G383" t="s">
        <v>32</v>
      </c>
      <c r="I383" t="s">
        <v>35</v>
      </c>
      <c r="J383" t="s">
        <v>36</v>
      </c>
      <c r="K383" t="s">
        <v>39</v>
      </c>
      <c r="L383">
        <v>10000</v>
      </c>
      <c r="M383">
        <v>15</v>
      </c>
      <c r="N383">
        <v>666.66700000000003</v>
      </c>
      <c r="O383">
        <v>100</v>
      </c>
      <c r="P383">
        <v>100</v>
      </c>
      <c r="Q383">
        <v>370206</v>
      </c>
      <c r="R383">
        <v>99</v>
      </c>
      <c r="S383">
        <v>378352</v>
      </c>
      <c r="T383">
        <v>100</v>
      </c>
      <c r="U383">
        <v>435275</v>
      </c>
      <c r="V383">
        <v>100</v>
      </c>
      <c r="W383">
        <v>75007.67</v>
      </c>
      <c r="X383">
        <v>8.94</v>
      </c>
      <c r="Y383">
        <v>20.260000000000002</v>
      </c>
      <c r="Z383">
        <v>9</v>
      </c>
      <c r="AA383">
        <v>87829.96</v>
      </c>
      <c r="AB383">
        <v>10.38</v>
      </c>
      <c r="AC383">
        <v>23.21</v>
      </c>
      <c r="AD383">
        <v>10.38</v>
      </c>
    </row>
    <row r="384" spans="1:30" x14ac:dyDescent="0.2">
      <c r="A384" t="s">
        <v>30</v>
      </c>
      <c r="B384" t="s">
        <v>1</v>
      </c>
      <c r="C384" t="s">
        <v>2</v>
      </c>
      <c r="D384" t="s">
        <v>104</v>
      </c>
      <c r="E384" t="s">
        <v>180</v>
      </c>
      <c r="F384" t="s">
        <v>1</v>
      </c>
      <c r="G384" t="s">
        <v>32</v>
      </c>
      <c r="I384" t="s">
        <v>38</v>
      </c>
      <c r="J384" t="s">
        <v>40</v>
      </c>
      <c r="L384">
        <v>5054</v>
      </c>
      <c r="M384">
        <v>15</v>
      </c>
      <c r="N384">
        <v>336.93299999999999</v>
      </c>
      <c r="O384">
        <v>50.54</v>
      </c>
      <c r="P384">
        <v>50.54</v>
      </c>
      <c r="Q384">
        <v>197</v>
      </c>
      <c r="R384" t="s">
        <v>33</v>
      </c>
      <c r="S384">
        <v>187</v>
      </c>
      <c r="T384" t="s">
        <v>33</v>
      </c>
      <c r="U384">
        <v>187</v>
      </c>
      <c r="V384" t="s">
        <v>33</v>
      </c>
      <c r="W384">
        <v>80.489999999999995</v>
      </c>
      <c r="X384" t="s">
        <v>33</v>
      </c>
      <c r="Y384">
        <v>40.909999999999997</v>
      </c>
      <c r="Z384" t="s">
        <v>33</v>
      </c>
      <c r="AA384">
        <v>72.650000000000006</v>
      </c>
      <c r="AB384" t="s">
        <v>33</v>
      </c>
      <c r="AC384">
        <v>38.85</v>
      </c>
      <c r="AD384" t="s">
        <v>33</v>
      </c>
    </row>
    <row r="385" spans="1:30" x14ac:dyDescent="0.2">
      <c r="A385" t="s">
        <v>30</v>
      </c>
      <c r="B385" t="s">
        <v>1</v>
      </c>
      <c r="C385" t="s">
        <v>2</v>
      </c>
      <c r="D385" t="s">
        <v>104</v>
      </c>
      <c r="E385" t="s">
        <v>180</v>
      </c>
      <c r="F385" t="s">
        <v>1</v>
      </c>
      <c r="G385" t="s">
        <v>32</v>
      </c>
      <c r="I385" t="s">
        <v>38</v>
      </c>
      <c r="J385" t="s">
        <v>41</v>
      </c>
      <c r="L385">
        <v>5054</v>
      </c>
      <c r="M385">
        <v>15</v>
      </c>
      <c r="N385">
        <v>336.93299999999999</v>
      </c>
      <c r="O385">
        <v>50.54</v>
      </c>
      <c r="P385">
        <v>50.54</v>
      </c>
      <c r="Q385">
        <v>106</v>
      </c>
      <c r="R385" t="s">
        <v>33</v>
      </c>
      <c r="S385">
        <v>71</v>
      </c>
      <c r="T385" t="s">
        <v>33</v>
      </c>
      <c r="U385">
        <v>87</v>
      </c>
      <c r="V385" t="s">
        <v>33</v>
      </c>
      <c r="W385">
        <v>704.9</v>
      </c>
      <c r="X385" t="s">
        <v>33</v>
      </c>
      <c r="Y385">
        <v>663.76</v>
      </c>
      <c r="Z385" t="s">
        <v>33</v>
      </c>
      <c r="AA385">
        <v>28.17</v>
      </c>
      <c r="AB385" t="s">
        <v>33</v>
      </c>
      <c r="AC385">
        <v>39.68</v>
      </c>
      <c r="AD385" t="s">
        <v>33</v>
      </c>
    </row>
    <row r="386" spans="1:30" x14ac:dyDescent="0.2">
      <c r="A386" t="s">
        <v>30</v>
      </c>
      <c r="B386" t="s">
        <v>1</v>
      </c>
      <c r="C386" t="s">
        <v>2</v>
      </c>
      <c r="D386" t="s">
        <v>105</v>
      </c>
      <c r="E386" t="s">
        <v>181</v>
      </c>
      <c r="F386" t="s">
        <v>1</v>
      </c>
      <c r="G386" t="s">
        <v>32</v>
      </c>
      <c r="H386" t="s">
        <v>33</v>
      </c>
      <c r="I386" t="s">
        <v>34</v>
      </c>
      <c r="J386" t="s">
        <v>33</v>
      </c>
      <c r="K386" t="s">
        <v>33</v>
      </c>
      <c r="L386">
        <v>10000</v>
      </c>
      <c r="M386">
        <v>7</v>
      </c>
      <c r="N386">
        <v>1428.5709999999999</v>
      </c>
      <c r="O386">
        <v>100</v>
      </c>
      <c r="P386">
        <v>100</v>
      </c>
      <c r="Q386" t="s">
        <v>33</v>
      </c>
      <c r="R386" t="s">
        <v>33</v>
      </c>
      <c r="S386" t="s">
        <v>33</v>
      </c>
      <c r="T386" t="s">
        <v>33</v>
      </c>
      <c r="U386" t="s">
        <v>33</v>
      </c>
      <c r="V386" t="s">
        <v>33</v>
      </c>
      <c r="W386" t="s">
        <v>33</v>
      </c>
      <c r="X386" t="s">
        <v>33</v>
      </c>
      <c r="Y386" t="s">
        <v>33</v>
      </c>
      <c r="Z386" t="s">
        <v>33</v>
      </c>
      <c r="AA386" t="s">
        <v>33</v>
      </c>
      <c r="AB386" t="s">
        <v>33</v>
      </c>
      <c r="AC386" t="s">
        <v>33</v>
      </c>
      <c r="AD386" t="s">
        <v>33</v>
      </c>
    </row>
    <row r="387" spans="1:30" x14ac:dyDescent="0.2">
      <c r="A387" t="s">
        <v>30</v>
      </c>
      <c r="B387" t="s">
        <v>1</v>
      </c>
      <c r="C387" t="s">
        <v>2</v>
      </c>
      <c r="D387" t="s">
        <v>105</v>
      </c>
      <c r="E387" t="s">
        <v>181</v>
      </c>
      <c r="F387" t="s">
        <v>1</v>
      </c>
      <c r="G387" t="s">
        <v>32</v>
      </c>
      <c r="I387" t="s">
        <v>35</v>
      </c>
      <c r="J387" t="s">
        <v>36</v>
      </c>
      <c r="K387" t="s">
        <v>37</v>
      </c>
      <c r="L387">
        <v>10000</v>
      </c>
      <c r="M387">
        <v>7</v>
      </c>
      <c r="N387">
        <v>1428.5709999999999</v>
      </c>
      <c r="O387">
        <v>100</v>
      </c>
      <c r="P387">
        <v>100</v>
      </c>
      <c r="Q387">
        <v>321793</v>
      </c>
      <c r="R387">
        <v>94808</v>
      </c>
      <c r="S387">
        <v>323119</v>
      </c>
      <c r="T387">
        <v>91034</v>
      </c>
      <c r="U387">
        <v>371539</v>
      </c>
      <c r="V387">
        <v>80876</v>
      </c>
      <c r="W387">
        <v>84919.81</v>
      </c>
      <c r="X387">
        <v>31462.43</v>
      </c>
      <c r="Y387">
        <v>26.39</v>
      </c>
      <c r="Z387">
        <v>33.19</v>
      </c>
      <c r="AA387">
        <v>100766.39</v>
      </c>
      <c r="AB387">
        <v>31518.59</v>
      </c>
      <c r="AC387">
        <v>31.19</v>
      </c>
      <c r="AD387">
        <v>34.619999999999997</v>
      </c>
    </row>
    <row r="388" spans="1:30" x14ac:dyDescent="0.2">
      <c r="A388" t="s">
        <v>30</v>
      </c>
      <c r="B388" t="s">
        <v>1</v>
      </c>
      <c r="C388" t="s">
        <v>2</v>
      </c>
      <c r="D388" t="s">
        <v>105</v>
      </c>
      <c r="E388" t="s">
        <v>181</v>
      </c>
      <c r="F388" t="s">
        <v>1</v>
      </c>
      <c r="G388" t="s">
        <v>32</v>
      </c>
      <c r="I388" t="s">
        <v>38</v>
      </c>
      <c r="J388" t="s">
        <v>36</v>
      </c>
      <c r="K388" t="s">
        <v>39</v>
      </c>
      <c r="L388">
        <v>4847</v>
      </c>
      <c r="M388">
        <v>7</v>
      </c>
      <c r="N388">
        <v>692.42899999999997</v>
      </c>
      <c r="O388">
        <v>48.47</v>
      </c>
      <c r="P388">
        <v>48.47</v>
      </c>
      <c r="Q388">
        <v>326209</v>
      </c>
      <c r="R388">
        <v>91</v>
      </c>
      <c r="S388">
        <v>329423</v>
      </c>
      <c r="T388">
        <v>91</v>
      </c>
      <c r="U388">
        <v>371498</v>
      </c>
      <c r="V388">
        <v>95</v>
      </c>
      <c r="W388">
        <v>83255.02</v>
      </c>
      <c r="X388">
        <v>7.09</v>
      </c>
      <c r="Y388">
        <v>25.52</v>
      </c>
      <c r="Z388">
        <v>7.78</v>
      </c>
      <c r="AA388">
        <v>96606.21</v>
      </c>
      <c r="AB388">
        <v>7.41</v>
      </c>
      <c r="AC388">
        <v>29.33</v>
      </c>
      <c r="AD388">
        <v>8.15</v>
      </c>
    </row>
    <row r="389" spans="1:30" x14ac:dyDescent="0.2">
      <c r="A389" t="s">
        <v>30</v>
      </c>
      <c r="B389" t="s">
        <v>1</v>
      </c>
      <c r="C389" t="s">
        <v>2</v>
      </c>
      <c r="D389" t="s">
        <v>105</v>
      </c>
      <c r="E389" t="s">
        <v>181</v>
      </c>
      <c r="F389" t="s">
        <v>1</v>
      </c>
      <c r="G389" t="s">
        <v>32</v>
      </c>
      <c r="I389" t="s">
        <v>35</v>
      </c>
      <c r="J389" t="s">
        <v>36</v>
      </c>
      <c r="K389" t="s">
        <v>39</v>
      </c>
      <c r="L389">
        <v>10000</v>
      </c>
      <c r="M389">
        <v>7</v>
      </c>
      <c r="N389">
        <v>1428.5709999999999</v>
      </c>
      <c r="O389">
        <v>100</v>
      </c>
      <c r="P389">
        <v>100</v>
      </c>
      <c r="Q389">
        <v>321793</v>
      </c>
      <c r="R389">
        <v>97</v>
      </c>
      <c r="S389">
        <v>323119</v>
      </c>
      <c r="T389">
        <v>96</v>
      </c>
      <c r="U389">
        <v>371539</v>
      </c>
      <c r="V389">
        <v>94</v>
      </c>
      <c r="W389">
        <v>84919.81</v>
      </c>
      <c r="X389">
        <v>9.2899999999999991</v>
      </c>
      <c r="Y389">
        <v>26.39</v>
      </c>
      <c r="Z389">
        <v>9.6199999999999992</v>
      </c>
      <c r="AA389">
        <v>100766.39</v>
      </c>
      <c r="AB389">
        <v>10.38</v>
      </c>
      <c r="AC389">
        <v>31.19</v>
      </c>
      <c r="AD389">
        <v>10.81</v>
      </c>
    </row>
    <row r="390" spans="1:30" x14ac:dyDescent="0.2">
      <c r="A390" t="s">
        <v>30</v>
      </c>
      <c r="B390" t="s">
        <v>1</v>
      </c>
      <c r="C390" t="s">
        <v>2</v>
      </c>
      <c r="D390" t="s">
        <v>105</v>
      </c>
      <c r="E390" t="s">
        <v>181</v>
      </c>
      <c r="F390" t="s">
        <v>1</v>
      </c>
      <c r="G390" t="s">
        <v>32</v>
      </c>
      <c r="I390" t="s">
        <v>38</v>
      </c>
      <c r="J390" t="s">
        <v>40</v>
      </c>
      <c r="L390">
        <v>4847</v>
      </c>
      <c r="M390">
        <v>7</v>
      </c>
      <c r="N390">
        <v>692.42899999999997</v>
      </c>
      <c r="O390">
        <v>48.47</v>
      </c>
      <c r="P390">
        <v>48.47</v>
      </c>
      <c r="Q390">
        <v>861</v>
      </c>
      <c r="R390" t="s">
        <v>33</v>
      </c>
      <c r="S390">
        <v>624</v>
      </c>
      <c r="T390" t="s">
        <v>33</v>
      </c>
      <c r="U390">
        <v>483</v>
      </c>
      <c r="V390" t="s">
        <v>33</v>
      </c>
      <c r="W390">
        <v>682.05</v>
      </c>
      <c r="X390" t="s">
        <v>33</v>
      </c>
      <c r="Y390">
        <v>79.17</v>
      </c>
      <c r="Z390" t="s">
        <v>33</v>
      </c>
      <c r="AA390">
        <v>419.58</v>
      </c>
      <c r="AB390" t="s">
        <v>33</v>
      </c>
      <c r="AC390">
        <v>67.239999999999995</v>
      </c>
      <c r="AD390" t="s">
        <v>33</v>
      </c>
    </row>
    <row r="391" spans="1:30" x14ac:dyDescent="0.2">
      <c r="A391" t="s">
        <v>30</v>
      </c>
      <c r="B391" t="s">
        <v>1</v>
      </c>
      <c r="C391" t="s">
        <v>2</v>
      </c>
      <c r="D391" t="s">
        <v>105</v>
      </c>
      <c r="E391" t="s">
        <v>181</v>
      </c>
      <c r="F391" t="s">
        <v>1</v>
      </c>
      <c r="G391" t="s">
        <v>32</v>
      </c>
      <c r="I391" t="s">
        <v>38</v>
      </c>
      <c r="J391" t="s">
        <v>41</v>
      </c>
      <c r="L391">
        <v>4847</v>
      </c>
      <c r="M391">
        <v>7</v>
      </c>
      <c r="N391">
        <v>692.42899999999997</v>
      </c>
      <c r="O391">
        <v>48.47</v>
      </c>
      <c r="P391">
        <v>48.47</v>
      </c>
      <c r="Q391">
        <v>511</v>
      </c>
      <c r="R391" t="s">
        <v>33</v>
      </c>
      <c r="S391">
        <v>419</v>
      </c>
      <c r="T391" t="s">
        <v>33</v>
      </c>
      <c r="U391">
        <v>496</v>
      </c>
      <c r="V391" t="s">
        <v>33</v>
      </c>
      <c r="W391">
        <v>399.34</v>
      </c>
      <c r="X391" t="s">
        <v>33</v>
      </c>
      <c r="Y391">
        <v>78.08</v>
      </c>
      <c r="Z391" t="s">
        <v>33</v>
      </c>
      <c r="AA391">
        <v>253.52</v>
      </c>
      <c r="AB391" t="s">
        <v>33</v>
      </c>
      <c r="AC391">
        <v>60.51</v>
      </c>
      <c r="AD391" t="s">
        <v>33</v>
      </c>
    </row>
    <row r="392" spans="1:30" x14ac:dyDescent="0.2">
      <c r="A392" t="s">
        <v>30</v>
      </c>
      <c r="B392" t="s">
        <v>1</v>
      </c>
      <c r="C392" t="s">
        <v>2</v>
      </c>
      <c r="D392" t="s">
        <v>106</v>
      </c>
      <c r="E392" t="s">
        <v>182</v>
      </c>
      <c r="F392" t="s">
        <v>1</v>
      </c>
      <c r="G392" t="s">
        <v>32</v>
      </c>
      <c r="H392" t="s">
        <v>33</v>
      </c>
      <c r="I392" t="s">
        <v>34</v>
      </c>
      <c r="J392" t="s">
        <v>33</v>
      </c>
      <c r="K392" t="s">
        <v>33</v>
      </c>
      <c r="L392">
        <v>10000</v>
      </c>
      <c r="M392">
        <v>12</v>
      </c>
      <c r="N392">
        <v>833.33299999999997</v>
      </c>
      <c r="O392">
        <v>100</v>
      </c>
      <c r="P392">
        <v>100</v>
      </c>
      <c r="Q392" t="s">
        <v>33</v>
      </c>
      <c r="R392" t="s">
        <v>33</v>
      </c>
      <c r="S392" t="s">
        <v>33</v>
      </c>
      <c r="T392" t="s">
        <v>33</v>
      </c>
      <c r="U392" t="s">
        <v>33</v>
      </c>
      <c r="V392" t="s">
        <v>33</v>
      </c>
      <c r="W392" t="s">
        <v>33</v>
      </c>
      <c r="X392" t="s">
        <v>33</v>
      </c>
      <c r="Y392" t="s">
        <v>33</v>
      </c>
      <c r="Z392" t="s">
        <v>33</v>
      </c>
      <c r="AA392" t="s">
        <v>33</v>
      </c>
      <c r="AB392" t="s">
        <v>33</v>
      </c>
      <c r="AC392" t="s">
        <v>33</v>
      </c>
      <c r="AD392" t="s">
        <v>33</v>
      </c>
    </row>
    <row r="393" spans="1:30" x14ac:dyDescent="0.2">
      <c r="A393" t="s">
        <v>30</v>
      </c>
      <c r="B393" t="s">
        <v>1</v>
      </c>
      <c r="C393" t="s">
        <v>2</v>
      </c>
      <c r="D393" t="s">
        <v>106</v>
      </c>
      <c r="E393" t="s">
        <v>182</v>
      </c>
      <c r="F393" t="s">
        <v>1</v>
      </c>
      <c r="G393" t="s">
        <v>32</v>
      </c>
      <c r="I393" t="s">
        <v>35</v>
      </c>
      <c r="J393" t="s">
        <v>36</v>
      </c>
      <c r="K393" t="s">
        <v>37</v>
      </c>
      <c r="L393">
        <v>10000</v>
      </c>
      <c r="M393">
        <v>12</v>
      </c>
      <c r="N393">
        <v>833.33299999999997</v>
      </c>
      <c r="O393">
        <v>100</v>
      </c>
      <c r="P393">
        <v>100</v>
      </c>
      <c r="Q393">
        <v>314111</v>
      </c>
      <c r="R393">
        <v>97257</v>
      </c>
      <c r="S393">
        <v>314050</v>
      </c>
      <c r="T393">
        <v>91734</v>
      </c>
      <c r="U393">
        <v>312332</v>
      </c>
      <c r="V393">
        <v>86929</v>
      </c>
      <c r="W393">
        <v>84635.46</v>
      </c>
      <c r="X393">
        <v>34050.94</v>
      </c>
      <c r="Y393">
        <v>26.94</v>
      </c>
      <c r="Z393">
        <v>35.01</v>
      </c>
      <c r="AA393">
        <v>100450.6</v>
      </c>
      <c r="AB393">
        <v>33790.68</v>
      </c>
      <c r="AC393">
        <v>31.99</v>
      </c>
      <c r="AD393">
        <v>36.840000000000003</v>
      </c>
    </row>
    <row r="394" spans="1:30" x14ac:dyDescent="0.2">
      <c r="A394" t="s">
        <v>30</v>
      </c>
      <c r="B394" t="s">
        <v>1</v>
      </c>
      <c r="C394" t="s">
        <v>2</v>
      </c>
      <c r="D394" t="s">
        <v>106</v>
      </c>
      <c r="E394" t="s">
        <v>182</v>
      </c>
      <c r="F394" t="s">
        <v>1</v>
      </c>
      <c r="G394" t="s">
        <v>32</v>
      </c>
      <c r="I394" t="s">
        <v>38</v>
      </c>
      <c r="J394" t="s">
        <v>36</v>
      </c>
      <c r="K394" t="s">
        <v>39</v>
      </c>
      <c r="L394">
        <v>4443</v>
      </c>
      <c r="M394">
        <v>12</v>
      </c>
      <c r="N394">
        <v>370.25</v>
      </c>
      <c r="O394">
        <v>44.43</v>
      </c>
      <c r="P394">
        <v>44.43</v>
      </c>
      <c r="Q394">
        <v>319025</v>
      </c>
      <c r="R394">
        <v>91</v>
      </c>
      <c r="S394">
        <v>318937</v>
      </c>
      <c r="T394">
        <v>91</v>
      </c>
      <c r="U394">
        <v>314458</v>
      </c>
      <c r="V394">
        <v>92</v>
      </c>
      <c r="W394">
        <v>82985.45</v>
      </c>
      <c r="X394">
        <v>7</v>
      </c>
      <c r="Y394">
        <v>26.01</v>
      </c>
      <c r="Z394">
        <v>7.69</v>
      </c>
      <c r="AA394">
        <v>96434.23</v>
      </c>
      <c r="AB394">
        <v>7.41</v>
      </c>
      <c r="AC394">
        <v>30.24</v>
      </c>
      <c r="AD394">
        <v>8.15</v>
      </c>
    </row>
    <row r="395" spans="1:30" x14ac:dyDescent="0.2">
      <c r="A395" t="s">
        <v>30</v>
      </c>
      <c r="B395" t="s">
        <v>1</v>
      </c>
      <c r="C395" t="s">
        <v>2</v>
      </c>
      <c r="D395" t="s">
        <v>106</v>
      </c>
      <c r="E395" t="s">
        <v>182</v>
      </c>
      <c r="F395" t="s">
        <v>1</v>
      </c>
      <c r="G395" t="s">
        <v>32</v>
      </c>
      <c r="I395" t="s">
        <v>35</v>
      </c>
      <c r="J395" t="s">
        <v>36</v>
      </c>
      <c r="K395" t="s">
        <v>39</v>
      </c>
      <c r="L395">
        <v>10000</v>
      </c>
      <c r="M395">
        <v>12</v>
      </c>
      <c r="N395">
        <v>833.33299999999997</v>
      </c>
      <c r="O395">
        <v>100</v>
      </c>
      <c r="P395">
        <v>100</v>
      </c>
      <c r="Q395">
        <v>314111</v>
      </c>
      <c r="R395">
        <v>97</v>
      </c>
      <c r="S395">
        <v>314050</v>
      </c>
      <c r="T395">
        <v>96</v>
      </c>
      <c r="U395">
        <v>312332</v>
      </c>
      <c r="V395">
        <v>97</v>
      </c>
      <c r="W395">
        <v>84635.46</v>
      </c>
      <c r="X395">
        <v>9.1999999999999993</v>
      </c>
      <c r="Y395">
        <v>26.94</v>
      </c>
      <c r="Z395">
        <v>9.5299999999999994</v>
      </c>
      <c r="AA395">
        <v>100450.6</v>
      </c>
      <c r="AB395">
        <v>10.38</v>
      </c>
      <c r="AC395">
        <v>31.99</v>
      </c>
      <c r="AD395">
        <v>10.81</v>
      </c>
    </row>
    <row r="396" spans="1:30" x14ac:dyDescent="0.2">
      <c r="A396" t="s">
        <v>30</v>
      </c>
      <c r="B396" t="s">
        <v>1</v>
      </c>
      <c r="C396" t="s">
        <v>2</v>
      </c>
      <c r="D396" t="s">
        <v>106</v>
      </c>
      <c r="E396" t="s">
        <v>182</v>
      </c>
      <c r="F396" t="s">
        <v>1</v>
      </c>
      <c r="G396" t="s">
        <v>32</v>
      </c>
      <c r="I396" t="s">
        <v>38</v>
      </c>
      <c r="J396" t="s">
        <v>40</v>
      </c>
      <c r="L396">
        <v>4443</v>
      </c>
      <c r="M396">
        <v>12</v>
      </c>
      <c r="N396">
        <v>370.25</v>
      </c>
      <c r="O396">
        <v>44.43</v>
      </c>
      <c r="P396">
        <v>44.43</v>
      </c>
      <c r="Q396">
        <v>1373</v>
      </c>
      <c r="R396" t="s">
        <v>33</v>
      </c>
      <c r="S396">
        <v>1205</v>
      </c>
      <c r="T396" t="s">
        <v>33</v>
      </c>
      <c r="U396">
        <v>1726</v>
      </c>
      <c r="V396" t="s">
        <v>33</v>
      </c>
      <c r="W396">
        <v>880.83</v>
      </c>
      <c r="X396" t="s">
        <v>33</v>
      </c>
      <c r="Y396">
        <v>64.17</v>
      </c>
      <c r="Z396" t="s">
        <v>33</v>
      </c>
      <c r="AA396">
        <v>849.53</v>
      </c>
      <c r="AB396" t="s">
        <v>33</v>
      </c>
      <c r="AC396">
        <v>70.5</v>
      </c>
      <c r="AD396" t="s">
        <v>33</v>
      </c>
    </row>
    <row r="397" spans="1:30" x14ac:dyDescent="0.2">
      <c r="A397" t="s">
        <v>30</v>
      </c>
      <c r="B397" t="s">
        <v>1</v>
      </c>
      <c r="C397" t="s">
        <v>2</v>
      </c>
      <c r="D397" t="s">
        <v>106</v>
      </c>
      <c r="E397" t="s">
        <v>182</v>
      </c>
      <c r="F397" t="s">
        <v>1</v>
      </c>
      <c r="G397" t="s">
        <v>32</v>
      </c>
      <c r="I397" t="s">
        <v>38</v>
      </c>
      <c r="J397" t="s">
        <v>41</v>
      </c>
      <c r="L397">
        <v>4443</v>
      </c>
      <c r="M397">
        <v>12</v>
      </c>
      <c r="N397">
        <v>370.25</v>
      </c>
      <c r="O397">
        <v>44.43</v>
      </c>
      <c r="P397">
        <v>44.43</v>
      </c>
      <c r="Q397">
        <v>664</v>
      </c>
      <c r="R397" t="s">
        <v>33</v>
      </c>
      <c r="S397">
        <v>578</v>
      </c>
      <c r="T397" t="s">
        <v>33</v>
      </c>
      <c r="U397">
        <v>517</v>
      </c>
      <c r="V397" t="s">
        <v>33</v>
      </c>
      <c r="W397">
        <v>397.66</v>
      </c>
      <c r="X397" t="s">
        <v>33</v>
      </c>
      <c r="Y397">
        <v>59.91</v>
      </c>
      <c r="Z397" t="s">
        <v>33</v>
      </c>
      <c r="AA397">
        <v>324.69</v>
      </c>
      <c r="AB397" t="s">
        <v>33</v>
      </c>
      <c r="AC397">
        <v>56.17</v>
      </c>
      <c r="AD397" t="s">
        <v>33</v>
      </c>
    </row>
    <row r="398" spans="1:30" x14ac:dyDescent="0.2">
      <c r="A398" t="s">
        <v>30</v>
      </c>
      <c r="B398" t="s">
        <v>1</v>
      </c>
      <c r="C398" t="s">
        <v>2</v>
      </c>
      <c r="D398" t="s">
        <v>107</v>
      </c>
      <c r="E398" t="s">
        <v>183</v>
      </c>
      <c r="F398" t="s">
        <v>1</v>
      </c>
      <c r="G398" t="s">
        <v>32</v>
      </c>
      <c r="H398" t="s">
        <v>33</v>
      </c>
      <c r="I398" t="s">
        <v>34</v>
      </c>
      <c r="J398" t="s">
        <v>33</v>
      </c>
      <c r="K398" t="s">
        <v>33</v>
      </c>
      <c r="L398">
        <v>10000</v>
      </c>
      <c r="M398">
        <v>18</v>
      </c>
      <c r="N398">
        <v>555.55600000000004</v>
      </c>
      <c r="O398">
        <v>100</v>
      </c>
      <c r="P398">
        <v>100</v>
      </c>
      <c r="Q398" t="s">
        <v>33</v>
      </c>
      <c r="R398" t="s">
        <v>33</v>
      </c>
      <c r="S398" t="s">
        <v>33</v>
      </c>
      <c r="T398" t="s">
        <v>33</v>
      </c>
      <c r="U398" t="s">
        <v>33</v>
      </c>
      <c r="V398" t="s">
        <v>33</v>
      </c>
      <c r="W398" t="s">
        <v>33</v>
      </c>
      <c r="X398" t="s">
        <v>33</v>
      </c>
      <c r="Y398" t="s">
        <v>33</v>
      </c>
      <c r="Z398" t="s">
        <v>33</v>
      </c>
      <c r="AA398" t="s">
        <v>33</v>
      </c>
      <c r="AB398" t="s">
        <v>33</v>
      </c>
      <c r="AC398" t="s">
        <v>33</v>
      </c>
      <c r="AD398" t="s">
        <v>33</v>
      </c>
    </row>
    <row r="399" spans="1:30" x14ac:dyDescent="0.2">
      <c r="A399" t="s">
        <v>30</v>
      </c>
      <c r="B399" t="s">
        <v>1</v>
      </c>
      <c r="C399" t="s">
        <v>2</v>
      </c>
      <c r="D399" t="s">
        <v>107</v>
      </c>
      <c r="E399" t="s">
        <v>183</v>
      </c>
      <c r="F399" t="s">
        <v>1</v>
      </c>
      <c r="G399" t="s">
        <v>32</v>
      </c>
      <c r="I399" t="s">
        <v>35</v>
      </c>
      <c r="J399" t="s">
        <v>36</v>
      </c>
      <c r="K399" t="s">
        <v>37</v>
      </c>
      <c r="L399">
        <v>10000</v>
      </c>
      <c r="M399">
        <v>18</v>
      </c>
      <c r="N399">
        <v>555.55600000000004</v>
      </c>
      <c r="O399">
        <v>100</v>
      </c>
      <c r="P399">
        <v>100</v>
      </c>
      <c r="Q399">
        <v>330420</v>
      </c>
      <c r="R399">
        <v>99133</v>
      </c>
      <c r="S399">
        <v>333446</v>
      </c>
      <c r="T399">
        <v>94204</v>
      </c>
      <c r="U399">
        <v>324473</v>
      </c>
      <c r="V399">
        <v>83137</v>
      </c>
      <c r="W399">
        <v>85936.73</v>
      </c>
      <c r="X399">
        <v>34892.74</v>
      </c>
      <c r="Y399">
        <v>26.01</v>
      </c>
      <c r="Z399">
        <v>35.200000000000003</v>
      </c>
      <c r="AA399">
        <v>103031.06</v>
      </c>
      <c r="AB399">
        <v>35406.71</v>
      </c>
      <c r="AC399">
        <v>30.9</v>
      </c>
      <c r="AD399">
        <v>37.590000000000003</v>
      </c>
    </row>
    <row r="400" spans="1:30" x14ac:dyDescent="0.2">
      <c r="A400" t="s">
        <v>30</v>
      </c>
      <c r="B400" t="s">
        <v>1</v>
      </c>
      <c r="C400" t="s">
        <v>2</v>
      </c>
      <c r="D400" t="s">
        <v>107</v>
      </c>
      <c r="E400" t="s">
        <v>183</v>
      </c>
      <c r="F400" t="s">
        <v>1</v>
      </c>
      <c r="G400" t="s">
        <v>32</v>
      </c>
      <c r="I400" t="s">
        <v>38</v>
      </c>
      <c r="J400" t="s">
        <v>36</v>
      </c>
      <c r="K400" t="s">
        <v>39</v>
      </c>
      <c r="L400">
        <v>4630</v>
      </c>
      <c r="M400">
        <v>18</v>
      </c>
      <c r="N400">
        <v>257.22199999999998</v>
      </c>
      <c r="O400">
        <v>46.3</v>
      </c>
      <c r="P400">
        <v>46.3</v>
      </c>
      <c r="Q400">
        <v>332894</v>
      </c>
      <c r="R400">
        <v>91</v>
      </c>
      <c r="S400">
        <v>335867</v>
      </c>
      <c r="T400">
        <v>91</v>
      </c>
      <c r="U400">
        <v>324472</v>
      </c>
      <c r="V400">
        <v>90</v>
      </c>
      <c r="W400">
        <v>84509.69</v>
      </c>
      <c r="X400">
        <v>7.07</v>
      </c>
      <c r="Y400">
        <v>25.39</v>
      </c>
      <c r="Z400">
        <v>7.74</v>
      </c>
      <c r="AA400">
        <v>99088.83</v>
      </c>
      <c r="AB400">
        <v>7.41</v>
      </c>
      <c r="AC400">
        <v>29.5</v>
      </c>
      <c r="AD400">
        <v>8.15</v>
      </c>
    </row>
    <row r="401" spans="1:30" x14ac:dyDescent="0.2">
      <c r="A401" t="s">
        <v>30</v>
      </c>
      <c r="B401" t="s">
        <v>1</v>
      </c>
      <c r="C401" t="s">
        <v>2</v>
      </c>
      <c r="D401" t="s">
        <v>107</v>
      </c>
      <c r="E401" t="s">
        <v>183</v>
      </c>
      <c r="F401" t="s">
        <v>1</v>
      </c>
      <c r="G401" t="s">
        <v>32</v>
      </c>
      <c r="I401" t="s">
        <v>35</v>
      </c>
      <c r="J401" t="s">
        <v>36</v>
      </c>
      <c r="K401" t="s">
        <v>39</v>
      </c>
      <c r="L401">
        <v>10000</v>
      </c>
      <c r="M401">
        <v>18</v>
      </c>
      <c r="N401">
        <v>555.55600000000004</v>
      </c>
      <c r="O401">
        <v>100</v>
      </c>
      <c r="P401">
        <v>100</v>
      </c>
      <c r="Q401">
        <v>330420</v>
      </c>
      <c r="R401">
        <v>97</v>
      </c>
      <c r="S401">
        <v>333446</v>
      </c>
      <c r="T401">
        <v>97</v>
      </c>
      <c r="U401">
        <v>324473</v>
      </c>
      <c r="V401">
        <v>94</v>
      </c>
      <c r="W401">
        <v>85936.73</v>
      </c>
      <c r="X401">
        <v>9.51</v>
      </c>
      <c r="Y401">
        <v>26.01</v>
      </c>
      <c r="Z401">
        <v>9.76</v>
      </c>
      <c r="AA401">
        <v>103031.06</v>
      </c>
      <c r="AB401">
        <v>10.38</v>
      </c>
      <c r="AC401">
        <v>30.9</v>
      </c>
      <c r="AD401">
        <v>10.7</v>
      </c>
    </row>
    <row r="402" spans="1:30" x14ac:dyDescent="0.2">
      <c r="A402" t="s">
        <v>30</v>
      </c>
      <c r="B402" t="s">
        <v>1</v>
      </c>
      <c r="C402" t="s">
        <v>2</v>
      </c>
      <c r="D402" t="s">
        <v>107</v>
      </c>
      <c r="E402" t="s">
        <v>183</v>
      </c>
      <c r="F402" t="s">
        <v>1</v>
      </c>
      <c r="G402" t="s">
        <v>32</v>
      </c>
      <c r="I402" t="s">
        <v>38</v>
      </c>
      <c r="J402" t="s">
        <v>40</v>
      </c>
      <c r="L402">
        <v>4630</v>
      </c>
      <c r="M402">
        <v>18</v>
      </c>
      <c r="N402">
        <v>257.22199999999998</v>
      </c>
      <c r="O402">
        <v>46.3</v>
      </c>
      <c r="P402">
        <v>46.3</v>
      </c>
      <c r="Q402">
        <v>963</v>
      </c>
      <c r="R402" t="s">
        <v>33</v>
      </c>
      <c r="S402">
        <v>708</v>
      </c>
      <c r="T402" t="s">
        <v>33</v>
      </c>
      <c r="U402">
        <v>524</v>
      </c>
      <c r="V402" t="s">
        <v>33</v>
      </c>
      <c r="W402">
        <v>743.79</v>
      </c>
      <c r="X402" t="s">
        <v>33</v>
      </c>
      <c r="Y402">
        <v>77.22</v>
      </c>
      <c r="Z402" t="s">
        <v>33</v>
      </c>
      <c r="AA402">
        <v>505.57</v>
      </c>
      <c r="AB402" t="s">
        <v>33</v>
      </c>
      <c r="AC402">
        <v>71.41</v>
      </c>
      <c r="AD402" t="s">
        <v>33</v>
      </c>
    </row>
    <row r="403" spans="1:30" x14ac:dyDescent="0.2">
      <c r="A403" t="s">
        <v>30</v>
      </c>
      <c r="B403" t="s">
        <v>1</v>
      </c>
      <c r="C403" t="s">
        <v>2</v>
      </c>
      <c r="D403" t="s">
        <v>107</v>
      </c>
      <c r="E403" t="s">
        <v>183</v>
      </c>
      <c r="F403" t="s">
        <v>1</v>
      </c>
      <c r="G403" t="s">
        <v>32</v>
      </c>
      <c r="I403" t="s">
        <v>38</v>
      </c>
      <c r="J403" t="s">
        <v>41</v>
      </c>
      <c r="L403">
        <v>4630</v>
      </c>
      <c r="M403">
        <v>18</v>
      </c>
      <c r="N403">
        <v>257.22199999999998</v>
      </c>
      <c r="O403">
        <v>46.3</v>
      </c>
      <c r="P403">
        <v>46.3</v>
      </c>
      <c r="Q403">
        <v>627</v>
      </c>
      <c r="R403" t="s">
        <v>33</v>
      </c>
      <c r="S403">
        <v>532</v>
      </c>
      <c r="T403" t="s">
        <v>33</v>
      </c>
      <c r="U403">
        <v>546</v>
      </c>
      <c r="V403" t="s">
        <v>33</v>
      </c>
      <c r="W403">
        <v>416.06</v>
      </c>
      <c r="X403" t="s">
        <v>33</v>
      </c>
      <c r="Y403">
        <v>66.349999999999994</v>
      </c>
      <c r="Z403" t="s">
        <v>33</v>
      </c>
      <c r="AA403">
        <v>330.62</v>
      </c>
      <c r="AB403" t="s">
        <v>33</v>
      </c>
      <c r="AC403">
        <v>62.15</v>
      </c>
      <c r="AD403" t="s">
        <v>33</v>
      </c>
    </row>
    <row r="404" spans="1:30" x14ac:dyDescent="0.2">
      <c r="A404" t="s">
        <v>30</v>
      </c>
      <c r="B404" t="s">
        <v>1</v>
      </c>
      <c r="C404" t="s">
        <v>2</v>
      </c>
      <c r="D404" t="s">
        <v>108</v>
      </c>
      <c r="E404" t="s">
        <v>184</v>
      </c>
      <c r="F404" t="s">
        <v>1</v>
      </c>
      <c r="G404" t="s">
        <v>32</v>
      </c>
      <c r="H404" t="s">
        <v>33</v>
      </c>
      <c r="I404" t="s">
        <v>34</v>
      </c>
      <c r="J404" t="s">
        <v>33</v>
      </c>
      <c r="K404" t="s">
        <v>33</v>
      </c>
      <c r="L404">
        <v>10000</v>
      </c>
      <c r="M404">
        <v>5</v>
      </c>
      <c r="N404">
        <v>2000</v>
      </c>
      <c r="O404">
        <v>100</v>
      </c>
      <c r="P404">
        <v>100</v>
      </c>
      <c r="Q404" t="s">
        <v>33</v>
      </c>
      <c r="R404" t="s">
        <v>33</v>
      </c>
      <c r="S404" t="s">
        <v>33</v>
      </c>
      <c r="T404" t="s">
        <v>33</v>
      </c>
      <c r="U404" t="s">
        <v>33</v>
      </c>
      <c r="V404" t="s">
        <v>33</v>
      </c>
      <c r="W404" t="s">
        <v>33</v>
      </c>
      <c r="X404" t="s">
        <v>33</v>
      </c>
      <c r="Y404" t="s">
        <v>33</v>
      </c>
      <c r="Z404" t="s">
        <v>33</v>
      </c>
      <c r="AA404" t="s">
        <v>33</v>
      </c>
      <c r="AB404" t="s">
        <v>33</v>
      </c>
      <c r="AC404" t="s">
        <v>33</v>
      </c>
      <c r="AD404" t="s">
        <v>33</v>
      </c>
    </row>
    <row r="405" spans="1:30" x14ac:dyDescent="0.2">
      <c r="A405" t="s">
        <v>30</v>
      </c>
      <c r="B405" t="s">
        <v>1</v>
      </c>
      <c r="C405" t="s">
        <v>2</v>
      </c>
      <c r="D405" t="s">
        <v>108</v>
      </c>
      <c r="E405" t="s">
        <v>184</v>
      </c>
      <c r="F405" t="s">
        <v>1</v>
      </c>
      <c r="G405" t="s">
        <v>32</v>
      </c>
      <c r="I405" t="s">
        <v>35</v>
      </c>
      <c r="J405" t="s">
        <v>36</v>
      </c>
      <c r="K405" t="s">
        <v>37</v>
      </c>
      <c r="L405">
        <v>10000</v>
      </c>
      <c r="M405">
        <v>5</v>
      </c>
      <c r="N405">
        <v>2000</v>
      </c>
      <c r="O405">
        <v>100</v>
      </c>
      <c r="P405">
        <v>100</v>
      </c>
      <c r="Q405">
        <v>313387</v>
      </c>
      <c r="R405">
        <v>89278</v>
      </c>
      <c r="S405">
        <v>313316</v>
      </c>
      <c r="T405">
        <v>83224</v>
      </c>
      <c r="U405">
        <v>244635</v>
      </c>
      <c r="V405">
        <v>76811</v>
      </c>
      <c r="W405">
        <v>84854.14</v>
      </c>
      <c r="X405">
        <v>33140.68</v>
      </c>
      <c r="Y405">
        <v>27.08</v>
      </c>
      <c r="Z405">
        <v>37.119999999999997</v>
      </c>
      <c r="AA405">
        <v>104349.09</v>
      </c>
      <c r="AB405">
        <v>31725.42</v>
      </c>
      <c r="AC405">
        <v>33.299999999999997</v>
      </c>
      <c r="AD405">
        <v>38.119999999999997</v>
      </c>
    </row>
    <row r="406" spans="1:30" x14ac:dyDescent="0.2">
      <c r="A406" t="s">
        <v>30</v>
      </c>
      <c r="B406" t="s">
        <v>1</v>
      </c>
      <c r="C406" t="s">
        <v>2</v>
      </c>
      <c r="D406" t="s">
        <v>108</v>
      </c>
      <c r="E406" t="s">
        <v>184</v>
      </c>
      <c r="F406" t="s">
        <v>1</v>
      </c>
      <c r="G406" t="s">
        <v>32</v>
      </c>
      <c r="I406" t="s">
        <v>38</v>
      </c>
      <c r="J406" t="s">
        <v>36</v>
      </c>
      <c r="K406" t="s">
        <v>39</v>
      </c>
      <c r="L406">
        <v>4576</v>
      </c>
      <c r="M406">
        <v>5</v>
      </c>
      <c r="N406">
        <v>915.2</v>
      </c>
      <c r="O406">
        <v>45.76</v>
      </c>
      <c r="P406">
        <v>45.76</v>
      </c>
      <c r="Q406">
        <v>315490</v>
      </c>
      <c r="R406">
        <v>90</v>
      </c>
      <c r="S406">
        <v>316391</v>
      </c>
      <c r="T406">
        <v>89</v>
      </c>
      <c r="U406">
        <v>236628</v>
      </c>
      <c r="V406">
        <v>84</v>
      </c>
      <c r="W406">
        <v>84729.95</v>
      </c>
      <c r="X406">
        <v>7.21</v>
      </c>
      <c r="Y406">
        <v>26.86</v>
      </c>
      <c r="Z406">
        <v>8.0500000000000007</v>
      </c>
      <c r="AA406">
        <v>104654.51</v>
      </c>
      <c r="AB406">
        <v>7.41</v>
      </c>
      <c r="AC406">
        <v>33.08</v>
      </c>
      <c r="AD406">
        <v>8.33</v>
      </c>
    </row>
    <row r="407" spans="1:30" x14ac:dyDescent="0.2">
      <c r="A407" t="s">
        <v>30</v>
      </c>
      <c r="B407" t="s">
        <v>1</v>
      </c>
      <c r="C407" t="s">
        <v>2</v>
      </c>
      <c r="D407" t="s">
        <v>108</v>
      </c>
      <c r="E407" t="s">
        <v>184</v>
      </c>
      <c r="F407" t="s">
        <v>1</v>
      </c>
      <c r="G407" t="s">
        <v>32</v>
      </c>
      <c r="I407" t="s">
        <v>35</v>
      </c>
      <c r="J407" t="s">
        <v>36</v>
      </c>
      <c r="K407" t="s">
        <v>39</v>
      </c>
      <c r="L407">
        <v>10000</v>
      </c>
      <c r="M407">
        <v>5</v>
      </c>
      <c r="N407">
        <v>2000</v>
      </c>
      <c r="O407">
        <v>100</v>
      </c>
      <c r="P407">
        <v>100</v>
      </c>
      <c r="Q407">
        <v>313387</v>
      </c>
      <c r="R407">
        <v>96</v>
      </c>
      <c r="S407">
        <v>313316</v>
      </c>
      <c r="T407">
        <v>96</v>
      </c>
      <c r="U407">
        <v>244635</v>
      </c>
      <c r="V407">
        <v>97</v>
      </c>
      <c r="W407">
        <v>84854.14</v>
      </c>
      <c r="X407">
        <v>10.07</v>
      </c>
      <c r="Y407">
        <v>27.08</v>
      </c>
      <c r="Z407">
        <v>10.44</v>
      </c>
      <c r="AA407">
        <v>104349.09</v>
      </c>
      <c r="AB407">
        <v>11.86</v>
      </c>
      <c r="AC407">
        <v>33.299999999999997</v>
      </c>
      <c r="AD407">
        <v>12.35</v>
      </c>
    </row>
    <row r="408" spans="1:30" x14ac:dyDescent="0.2">
      <c r="A408" t="s">
        <v>30</v>
      </c>
      <c r="B408" t="s">
        <v>1</v>
      </c>
      <c r="C408" t="s">
        <v>2</v>
      </c>
      <c r="D408" t="s">
        <v>108</v>
      </c>
      <c r="E408" t="s">
        <v>184</v>
      </c>
      <c r="F408" t="s">
        <v>1</v>
      </c>
      <c r="G408" t="s">
        <v>32</v>
      </c>
      <c r="I408" t="s">
        <v>38</v>
      </c>
      <c r="J408" t="s">
        <v>40</v>
      </c>
      <c r="L408">
        <v>4576</v>
      </c>
      <c r="M408">
        <v>5</v>
      </c>
      <c r="N408">
        <v>915.2</v>
      </c>
      <c r="O408">
        <v>45.76</v>
      </c>
      <c r="P408">
        <v>45.76</v>
      </c>
      <c r="Q408">
        <v>169</v>
      </c>
      <c r="R408" t="s">
        <v>33</v>
      </c>
      <c r="S408">
        <v>156</v>
      </c>
      <c r="T408" t="s">
        <v>33</v>
      </c>
      <c r="U408">
        <v>198</v>
      </c>
      <c r="V408" t="s">
        <v>33</v>
      </c>
      <c r="W408">
        <v>75.349999999999994</v>
      </c>
      <c r="X408" t="s">
        <v>33</v>
      </c>
      <c r="Y408">
        <v>44.48</v>
      </c>
      <c r="Z408" t="s">
        <v>33</v>
      </c>
      <c r="AA408">
        <v>65.23</v>
      </c>
      <c r="AB408" t="s">
        <v>33</v>
      </c>
      <c r="AC408">
        <v>41.82</v>
      </c>
      <c r="AD408" t="s">
        <v>33</v>
      </c>
    </row>
    <row r="409" spans="1:30" x14ac:dyDescent="0.2">
      <c r="A409" t="s">
        <v>30</v>
      </c>
      <c r="B409" t="s">
        <v>1</v>
      </c>
      <c r="C409" t="s">
        <v>2</v>
      </c>
      <c r="D409" t="s">
        <v>108</v>
      </c>
      <c r="E409" t="s">
        <v>184</v>
      </c>
      <c r="F409" t="s">
        <v>1</v>
      </c>
      <c r="G409" t="s">
        <v>32</v>
      </c>
      <c r="I409" t="s">
        <v>38</v>
      </c>
      <c r="J409" t="s">
        <v>41</v>
      </c>
      <c r="L409">
        <v>4576</v>
      </c>
      <c r="M409">
        <v>5</v>
      </c>
      <c r="N409">
        <v>915.2</v>
      </c>
      <c r="O409">
        <v>45.76</v>
      </c>
      <c r="P409">
        <v>45.76</v>
      </c>
      <c r="Q409">
        <v>525</v>
      </c>
      <c r="R409" t="s">
        <v>33</v>
      </c>
      <c r="S409">
        <v>458</v>
      </c>
      <c r="T409" t="s">
        <v>33</v>
      </c>
      <c r="U409">
        <v>510</v>
      </c>
      <c r="V409" t="s">
        <v>33</v>
      </c>
      <c r="W409">
        <v>306.14</v>
      </c>
      <c r="X409" t="s">
        <v>33</v>
      </c>
      <c r="Y409">
        <v>58.32</v>
      </c>
      <c r="Z409" t="s">
        <v>33</v>
      </c>
      <c r="AA409">
        <v>252.04</v>
      </c>
      <c r="AB409" t="s">
        <v>33</v>
      </c>
      <c r="AC409">
        <v>55.03</v>
      </c>
      <c r="AD409" t="s">
        <v>33</v>
      </c>
    </row>
    <row r="410" spans="1:30" x14ac:dyDescent="0.2">
      <c r="A410" t="s">
        <v>30</v>
      </c>
      <c r="B410" t="s">
        <v>1</v>
      </c>
      <c r="C410" t="s">
        <v>2</v>
      </c>
      <c r="D410" t="s">
        <v>109</v>
      </c>
      <c r="E410" t="s">
        <v>185</v>
      </c>
      <c r="F410" t="s">
        <v>1</v>
      </c>
      <c r="G410" t="s">
        <v>32</v>
      </c>
      <c r="H410" t="s">
        <v>33</v>
      </c>
      <c r="I410" t="s">
        <v>34</v>
      </c>
      <c r="J410" t="s">
        <v>33</v>
      </c>
      <c r="K410" t="s">
        <v>33</v>
      </c>
      <c r="L410">
        <v>10000</v>
      </c>
      <c r="M410">
        <v>12</v>
      </c>
      <c r="N410">
        <v>833.33299999999997</v>
      </c>
      <c r="O410">
        <v>100</v>
      </c>
      <c r="P410">
        <v>100</v>
      </c>
      <c r="Q410" t="s">
        <v>33</v>
      </c>
      <c r="R410" t="s">
        <v>33</v>
      </c>
      <c r="S410" t="s">
        <v>33</v>
      </c>
      <c r="T410" t="s">
        <v>33</v>
      </c>
      <c r="U410" t="s">
        <v>33</v>
      </c>
      <c r="V410" t="s">
        <v>33</v>
      </c>
      <c r="W410" t="s">
        <v>33</v>
      </c>
      <c r="X410" t="s">
        <v>33</v>
      </c>
      <c r="Y410" t="s">
        <v>33</v>
      </c>
      <c r="Z410" t="s">
        <v>33</v>
      </c>
      <c r="AA410" t="s">
        <v>33</v>
      </c>
      <c r="AB410" t="s">
        <v>33</v>
      </c>
      <c r="AC410" t="s">
        <v>33</v>
      </c>
      <c r="AD410" t="s">
        <v>33</v>
      </c>
    </row>
    <row r="411" spans="1:30" x14ac:dyDescent="0.2">
      <c r="A411" t="s">
        <v>30</v>
      </c>
      <c r="B411" t="s">
        <v>1</v>
      </c>
      <c r="C411" t="s">
        <v>2</v>
      </c>
      <c r="D411" t="s">
        <v>109</v>
      </c>
      <c r="E411" t="s">
        <v>185</v>
      </c>
      <c r="F411" t="s">
        <v>1</v>
      </c>
      <c r="G411" t="s">
        <v>32</v>
      </c>
      <c r="I411" t="s">
        <v>35</v>
      </c>
      <c r="J411" t="s">
        <v>36</v>
      </c>
      <c r="K411" t="s">
        <v>37</v>
      </c>
      <c r="L411">
        <v>10000</v>
      </c>
      <c r="M411">
        <v>12</v>
      </c>
      <c r="N411">
        <v>833.33299999999997</v>
      </c>
      <c r="O411">
        <v>100</v>
      </c>
      <c r="P411">
        <v>100</v>
      </c>
      <c r="Q411">
        <v>344265</v>
      </c>
      <c r="R411">
        <v>94262</v>
      </c>
      <c r="S411">
        <v>347510</v>
      </c>
      <c r="T411">
        <v>90462</v>
      </c>
      <c r="U411">
        <v>379988</v>
      </c>
      <c r="V411">
        <v>84962</v>
      </c>
      <c r="W411">
        <v>77082.240000000005</v>
      </c>
      <c r="X411">
        <v>30552.799999999999</v>
      </c>
      <c r="Y411">
        <v>22.39</v>
      </c>
      <c r="Z411">
        <v>32.409999999999997</v>
      </c>
      <c r="AA411">
        <v>92247.37</v>
      </c>
      <c r="AB411">
        <v>30112.35</v>
      </c>
      <c r="AC411">
        <v>26.55</v>
      </c>
      <c r="AD411">
        <v>33.29</v>
      </c>
    </row>
    <row r="412" spans="1:30" x14ac:dyDescent="0.2">
      <c r="A412" t="s">
        <v>30</v>
      </c>
      <c r="B412" t="s">
        <v>1</v>
      </c>
      <c r="C412" t="s">
        <v>2</v>
      </c>
      <c r="D412" t="s">
        <v>109</v>
      </c>
      <c r="E412" t="s">
        <v>185</v>
      </c>
      <c r="F412" t="s">
        <v>1</v>
      </c>
      <c r="G412" t="s">
        <v>32</v>
      </c>
      <c r="I412" t="s">
        <v>38</v>
      </c>
      <c r="J412" t="s">
        <v>36</v>
      </c>
      <c r="K412" t="s">
        <v>39</v>
      </c>
      <c r="L412">
        <v>4806</v>
      </c>
      <c r="M412">
        <v>12</v>
      </c>
      <c r="N412">
        <v>400.5</v>
      </c>
      <c r="O412">
        <v>48.06</v>
      </c>
      <c r="P412">
        <v>48.06</v>
      </c>
      <c r="Q412">
        <v>345149</v>
      </c>
      <c r="R412">
        <v>92</v>
      </c>
      <c r="S412">
        <v>348468</v>
      </c>
      <c r="T412">
        <v>92</v>
      </c>
      <c r="U412">
        <v>380023</v>
      </c>
      <c r="V412">
        <v>93</v>
      </c>
      <c r="W412">
        <v>76336.38</v>
      </c>
      <c r="X412">
        <v>6.71</v>
      </c>
      <c r="Y412">
        <v>22.12</v>
      </c>
      <c r="Z412">
        <v>7.29</v>
      </c>
      <c r="AA412">
        <v>89234.73</v>
      </c>
      <c r="AB412">
        <v>7.41</v>
      </c>
      <c r="AC412">
        <v>25.61</v>
      </c>
      <c r="AD412">
        <v>8.06</v>
      </c>
    </row>
    <row r="413" spans="1:30" x14ac:dyDescent="0.2">
      <c r="A413" t="s">
        <v>30</v>
      </c>
      <c r="B413" t="s">
        <v>1</v>
      </c>
      <c r="C413" t="s">
        <v>2</v>
      </c>
      <c r="D413" t="s">
        <v>109</v>
      </c>
      <c r="E413" t="s">
        <v>185</v>
      </c>
      <c r="F413" t="s">
        <v>1</v>
      </c>
      <c r="G413" t="s">
        <v>32</v>
      </c>
      <c r="I413" t="s">
        <v>35</v>
      </c>
      <c r="J413" t="s">
        <v>36</v>
      </c>
      <c r="K413" t="s">
        <v>39</v>
      </c>
      <c r="L413">
        <v>10000</v>
      </c>
      <c r="M413">
        <v>12</v>
      </c>
      <c r="N413">
        <v>833.33299999999997</v>
      </c>
      <c r="O413">
        <v>100</v>
      </c>
      <c r="P413">
        <v>100</v>
      </c>
      <c r="Q413">
        <v>344265</v>
      </c>
      <c r="R413">
        <v>98</v>
      </c>
      <c r="S413">
        <v>347510</v>
      </c>
      <c r="T413">
        <v>98</v>
      </c>
      <c r="U413">
        <v>379988</v>
      </c>
      <c r="V413">
        <v>97</v>
      </c>
      <c r="W413">
        <v>77082.240000000005</v>
      </c>
      <c r="X413">
        <v>9.17</v>
      </c>
      <c r="Y413">
        <v>22.39</v>
      </c>
      <c r="Z413">
        <v>9.34</v>
      </c>
      <c r="AA413">
        <v>92247.37</v>
      </c>
      <c r="AB413">
        <v>10.38</v>
      </c>
      <c r="AC413">
        <v>26.55</v>
      </c>
      <c r="AD413">
        <v>10.59</v>
      </c>
    </row>
    <row r="414" spans="1:30" x14ac:dyDescent="0.2">
      <c r="A414" t="s">
        <v>30</v>
      </c>
      <c r="B414" t="s">
        <v>1</v>
      </c>
      <c r="C414" t="s">
        <v>2</v>
      </c>
      <c r="D414" t="s">
        <v>109</v>
      </c>
      <c r="E414" t="s">
        <v>185</v>
      </c>
      <c r="F414" t="s">
        <v>1</v>
      </c>
      <c r="G414" t="s">
        <v>32</v>
      </c>
      <c r="I414" t="s">
        <v>38</v>
      </c>
      <c r="J414" t="s">
        <v>40</v>
      </c>
      <c r="L414">
        <v>4806</v>
      </c>
      <c r="M414">
        <v>12</v>
      </c>
      <c r="N414">
        <v>400.5</v>
      </c>
      <c r="O414">
        <v>48.06</v>
      </c>
      <c r="P414">
        <v>48.06</v>
      </c>
      <c r="Q414">
        <v>185</v>
      </c>
      <c r="R414" t="s">
        <v>33</v>
      </c>
      <c r="S414">
        <v>173</v>
      </c>
      <c r="T414" t="s">
        <v>33</v>
      </c>
      <c r="U414">
        <v>157</v>
      </c>
      <c r="V414" t="s">
        <v>33</v>
      </c>
      <c r="W414">
        <v>80.22</v>
      </c>
      <c r="X414" t="s">
        <v>33</v>
      </c>
      <c r="Y414">
        <v>43.37</v>
      </c>
      <c r="Z414" t="s">
        <v>33</v>
      </c>
      <c r="AA414">
        <v>72.650000000000006</v>
      </c>
      <c r="AB414" t="s">
        <v>33</v>
      </c>
      <c r="AC414">
        <v>41.99</v>
      </c>
      <c r="AD414" t="s">
        <v>33</v>
      </c>
    </row>
    <row r="415" spans="1:30" x14ac:dyDescent="0.2">
      <c r="A415" t="s">
        <v>30</v>
      </c>
      <c r="B415" t="s">
        <v>1</v>
      </c>
      <c r="C415" t="s">
        <v>2</v>
      </c>
      <c r="D415" t="s">
        <v>109</v>
      </c>
      <c r="E415" t="s">
        <v>185</v>
      </c>
      <c r="F415" t="s">
        <v>1</v>
      </c>
      <c r="G415" t="s">
        <v>32</v>
      </c>
      <c r="I415" t="s">
        <v>38</v>
      </c>
      <c r="J415" t="s">
        <v>41</v>
      </c>
      <c r="L415">
        <v>4806</v>
      </c>
      <c r="M415">
        <v>12</v>
      </c>
      <c r="N415">
        <v>400.5</v>
      </c>
      <c r="O415">
        <v>48.06</v>
      </c>
      <c r="P415">
        <v>48.06</v>
      </c>
      <c r="Q415">
        <v>630</v>
      </c>
      <c r="R415" t="s">
        <v>33</v>
      </c>
      <c r="S415">
        <v>550</v>
      </c>
      <c r="T415" t="s">
        <v>33</v>
      </c>
      <c r="U415">
        <v>560</v>
      </c>
      <c r="V415" t="s">
        <v>33</v>
      </c>
      <c r="W415">
        <v>373.24</v>
      </c>
      <c r="X415" t="s">
        <v>33</v>
      </c>
      <c r="Y415">
        <v>59.27</v>
      </c>
      <c r="Z415" t="s">
        <v>33</v>
      </c>
      <c r="AA415">
        <v>300.97000000000003</v>
      </c>
      <c r="AB415" t="s">
        <v>33</v>
      </c>
      <c r="AC415">
        <v>54.72</v>
      </c>
      <c r="AD415" t="s">
        <v>33</v>
      </c>
    </row>
    <row r="416" spans="1:30" x14ac:dyDescent="0.2">
      <c r="A416" t="s">
        <v>30</v>
      </c>
      <c r="B416" t="s">
        <v>1</v>
      </c>
      <c r="C416" t="s">
        <v>2</v>
      </c>
      <c r="D416" t="s">
        <v>110</v>
      </c>
      <c r="E416" t="s">
        <v>186</v>
      </c>
      <c r="F416" t="s">
        <v>1</v>
      </c>
      <c r="G416" t="s">
        <v>32</v>
      </c>
      <c r="H416" t="s">
        <v>33</v>
      </c>
      <c r="I416" t="s">
        <v>34</v>
      </c>
      <c r="J416" t="s">
        <v>33</v>
      </c>
      <c r="K416" t="s">
        <v>33</v>
      </c>
      <c r="L416">
        <v>10000</v>
      </c>
      <c r="M416">
        <v>14</v>
      </c>
      <c r="N416">
        <v>714.28599999999994</v>
      </c>
      <c r="O416">
        <v>100</v>
      </c>
      <c r="P416">
        <v>100</v>
      </c>
      <c r="Q416" t="s">
        <v>33</v>
      </c>
      <c r="R416" t="s">
        <v>33</v>
      </c>
      <c r="S416" t="s">
        <v>33</v>
      </c>
      <c r="T416" t="s">
        <v>33</v>
      </c>
      <c r="U416" t="s">
        <v>33</v>
      </c>
      <c r="V416" t="s">
        <v>33</v>
      </c>
      <c r="W416" t="s">
        <v>33</v>
      </c>
      <c r="X416" t="s">
        <v>33</v>
      </c>
      <c r="Y416" t="s">
        <v>33</v>
      </c>
      <c r="Z416" t="s">
        <v>33</v>
      </c>
      <c r="AA416" t="s">
        <v>33</v>
      </c>
      <c r="AB416" t="s">
        <v>33</v>
      </c>
      <c r="AC416" t="s">
        <v>33</v>
      </c>
      <c r="AD416" t="s">
        <v>33</v>
      </c>
    </row>
    <row r="417" spans="1:30" x14ac:dyDescent="0.2">
      <c r="A417" t="s">
        <v>30</v>
      </c>
      <c r="B417" t="s">
        <v>1</v>
      </c>
      <c r="C417" t="s">
        <v>2</v>
      </c>
      <c r="D417" t="s">
        <v>110</v>
      </c>
      <c r="E417" t="s">
        <v>186</v>
      </c>
      <c r="F417" t="s">
        <v>1</v>
      </c>
      <c r="G417" t="s">
        <v>32</v>
      </c>
      <c r="I417" t="s">
        <v>35</v>
      </c>
      <c r="J417" t="s">
        <v>36</v>
      </c>
      <c r="K417" t="s">
        <v>37</v>
      </c>
      <c r="L417">
        <v>10000</v>
      </c>
      <c r="M417">
        <v>14</v>
      </c>
      <c r="N417">
        <v>714.28599999999994</v>
      </c>
      <c r="O417">
        <v>100</v>
      </c>
      <c r="P417">
        <v>100</v>
      </c>
      <c r="Q417">
        <v>342396</v>
      </c>
      <c r="R417">
        <v>92763</v>
      </c>
      <c r="S417">
        <v>343661</v>
      </c>
      <c r="T417">
        <v>88629</v>
      </c>
      <c r="U417">
        <v>312354</v>
      </c>
      <c r="V417">
        <v>83044</v>
      </c>
      <c r="W417">
        <v>77638.740000000005</v>
      </c>
      <c r="X417">
        <v>30355.759999999998</v>
      </c>
      <c r="Y417">
        <v>22.68</v>
      </c>
      <c r="Z417">
        <v>32.72</v>
      </c>
      <c r="AA417">
        <v>93417.88</v>
      </c>
      <c r="AB417">
        <v>29917.38</v>
      </c>
      <c r="AC417">
        <v>27.18</v>
      </c>
      <c r="AD417">
        <v>33.76</v>
      </c>
    </row>
    <row r="418" spans="1:30" x14ac:dyDescent="0.2">
      <c r="A418" t="s">
        <v>30</v>
      </c>
      <c r="B418" t="s">
        <v>1</v>
      </c>
      <c r="C418" t="s">
        <v>2</v>
      </c>
      <c r="D418" t="s">
        <v>110</v>
      </c>
      <c r="E418" t="s">
        <v>186</v>
      </c>
      <c r="F418" t="s">
        <v>1</v>
      </c>
      <c r="G418" t="s">
        <v>32</v>
      </c>
      <c r="I418" t="s">
        <v>38</v>
      </c>
      <c r="J418" t="s">
        <v>36</v>
      </c>
      <c r="K418" t="s">
        <v>39</v>
      </c>
      <c r="L418">
        <v>4839</v>
      </c>
      <c r="M418">
        <v>14</v>
      </c>
      <c r="N418">
        <v>345.64299999999997</v>
      </c>
      <c r="O418">
        <v>48.39</v>
      </c>
      <c r="P418">
        <v>48.39</v>
      </c>
      <c r="Q418">
        <v>344917</v>
      </c>
      <c r="R418">
        <v>92</v>
      </c>
      <c r="S418">
        <v>346151</v>
      </c>
      <c r="T418">
        <v>92</v>
      </c>
      <c r="U418">
        <v>306256</v>
      </c>
      <c r="V418">
        <v>88</v>
      </c>
      <c r="W418">
        <v>76513.929999999993</v>
      </c>
      <c r="X418">
        <v>6.75</v>
      </c>
      <c r="Y418">
        <v>22.18</v>
      </c>
      <c r="Z418">
        <v>7.34</v>
      </c>
      <c r="AA418">
        <v>90045.71</v>
      </c>
      <c r="AB418">
        <v>7.41</v>
      </c>
      <c r="AC418">
        <v>26.01</v>
      </c>
      <c r="AD418">
        <v>8.06</v>
      </c>
    </row>
    <row r="419" spans="1:30" x14ac:dyDescent="0.2">
      <c r="A419" t="s">
        <v>30</v>
      </c>
      <c r="B419" t="s">
        <v>1</v>
      </c>
      <c r="C419" t="s">
        <v>2</v>
      </c>
      <c r="D419" t="s">
        <v>110</v>
      </c>
      <c r="E419" t="s">
        <v>186</v>
      </c>
      <c r="F419" t="s">
        <v>1</v>
      </c>
      <c r="G419" t="s">
        <v>32</v>
      </c>
      <c r="I419" t="s">
        <v>35</v>
      </c>
      <c r="J419" t="s">
        <v>36</v>
      </c>
      <c r="K419" t="s">
        <v>39</v>
      </c>
      <c r="L419">
        <v>10000</v>
      </c>
      <c r="M419">
        <v>14</v>
      </c>
      <c r="N419">
        <v>714.28599999999994</v>
      </c>
      <c r="O419">
        <v>100</v>
      </c>
      <c r="P419">
        <v>100</v>
      </c>
      <c r="Q419">
        <v>342396</v>
      </c>
      <c r="R419">
        <v>98</v>
      </c>
      <c r="S419">
        <v>343661</v>
      </c>
      <c r="T419">
        <v>98</v>
      </c>
      <c r="U419">
        <v>312354</v>
      </c>
      <c r="V419">
        <v>98</v>
      </c>
      <c r="W419">
        <v>77638.740000000005</v>
      </c>
      <c r="X419">
        <v>9.1</v>
      </c>
      <c r="Y419">
        <v>22.68</v>
      </c>
      <c r="Z419">
        <v>9.2899999999999991</v>
      </c>
      <c r="AA419">
        <v>93417.88</v>
      </c>
      <c r="AB419">
        <v>10.38</v>
      </c>
      <c r="AC419">
        <v>27.18</v>
      </c>
      <c r="AD419">
        <v>10.59</v>
      </c>
    </row>
    <row r="420" spans="1:30" x14ac:dyDescent="0.2">
      <c r="A420" t="s">
        <v>30</v>
      </c>
      <c r="B420" t="s">
        <v>1</v>
      </c>
      <c r="C420" t="s">
        <v>2</v>
      </c>
      <c r="D420" t="s">
        <v>110</v>
      </c>
      <c r="E420" t="s">
        <v>186</v>
      </c>
      <c r="F420" t="s">
        <v>1</v>
      </c>
      <c r="G420" t="s">
        <v>32</v>
      </c>
      <c r="I420" t="s">
        <v>38</v>
      </c>
      <c r="J420" t="s">
        <v>40</v>
      </c>
      <c r="L420">
        <v>4839</v>
      </c>
      <c r="M420">
        <v>14</v>
      </c>
      <c r="N420">
        <v>345.64299999999997</v>
      </c>
      <c r="O420">
        <v>48.39</v>
      </c>
      <c r="P420">
        <v>48.39</v>
      </c>
      <c r="Q420">
        <v>187</v>
      </c>
      <c r="R420" t="s">
        <v>33</v>
      </c>
      <c r="S420">
        <v>175</v>
      </c>
      <c r="T420" t="s">
        <v>33</v>
      </c>
      <c r="U420">
        <v>168</v>
      </c>
      <c r="V420" t="s">
        <v>33</v>
      </c>
      <c r="W420">
        <v>82.47</v>
      </c>
      <c r="X420" t="s">
        <v>33</v>
      </c>
      <c r="Y420">
        <v>44.04</v>
      </c>
      <c r="Z420" t="s">
        <v>33</v>
      </c>
      <c r="AA420">
        <v>71.16</v>
      </c>
      <c r="AB420" t="s">
        <v>33</v>
      </c>
      <c r="AC420">
        <v>40.67</v>
      </c>
      <c r="AD420" t="s">
        <v>33</v>
      </c>
    </row>
    <row r="421" spans="1:30" x14ac:dyDescent="0.2">
      <c r="A421" t="s">
        <v>30</v>
      </c>
      <c r="B421" t="s">
        <v>1</v>
      </c>
      <c r="C421" t="s">
        <v>2</v>
      </c>
      <c r="D421" t="s">
        <v>110</v>
      </c>
      <c r="E421" t="s">
        <v>186</v>
      </c>
      <c r="F421" t="s">
        <v>1</v>
      </c>
      <c r="G421" t="s">
        <v>32</v>
      </c>
      <c r="I421" t="s">
        <v>38</v>
      </c>
      <c r="J421" t="s">
        <v>41</v>
      </c>
      <c r="L421">
        <v>4839</v>
      </c>
      <c r="M421">
        <v>14</v>
      </c>
      <c r="N421">
        <v>345.64299999999997</v>
      </c>
      <c r="O421">
        <v>48.39</v>
      </c>
      <c r="P421">
        <v>48.39</v>
      </c>
      <c r="Q421">
        <v>645</v>
      </c>
      <c r="R421" t="s">
        <v>33</v>
      </c>
      <c r="S421">
        <v>556</v>
      </c>
      <c r="T421" t="s">
        <v>33</v>
      </c>
      <c r="U421">
        <v>608</v>
      </c>
      <c r="V421" t="s">
        <v>33</v>
      </c>
      <c r="W421">
        <v>395.55</v>
      </c>
      <c r="X421" t="s">
        <v>33</v>
      </c>
      <c r="Y421">
        <v>61.3</v>
      </c>
      <c r="Z421" t="s">
        <v>33</v>
      </c>
      <c r="AA421">
        <v>303.93</v>
      </c>
      <c r="AB421" t="s">
        <v>33</v>
      </c>
      <c r="AC421">
        <v>54.66</v>
      </c>
      <c r="AD421" t="s">
        <v>33</v>
      </c>
    </row>
    <row r="422" spans="1:30" x14ac:dyDescent="0.2">
      <c r="A422" t="s">
        <v>30</v>
      </c>
      <c r="B422" t="s">
        <v>1</v>
      </c>
      <c r="C422" t="s">
        <v>2</v>
      </c>
      <c r="D422" t="s">
        <v>111</v>
      </c>
      <c r="E422" t="s">
        <v>187</v>
      </c>
      <c r="F422" t="s">
        <v>1</v>
      </c>
      <c r="G422" t="s">
        <v>32</v>
      </c>
      <c r="H422" t="s">
        <v>33</v>
      </c>
      <c r="I422" t="s">
        <v>34</v>
      </c>
      <c r="J422" t="s">
        <v>33</v>
      </c>
      <c r="K422" t="s">
        <v>33</v>
      </c>
      <c r="L422">
        <v>10000</v>
      </c>
      <c r="M422">
        <v>6</v>
      </c>
      <c r="N422">
        <v>1666.6669999999999</v>
      </c>
      <c r="O422">
        <v>100</v>
      </c>
      <c r="P422">
        <v>100</v>
      </c>
      <c r="Q422" t="s">
        <v>33</v>
      </c>
      <c r="R422" t="s">
        <v>33</v>
      </c>
      <c r="S422" t="s">
        <v>33</v>
      </c>
      <c r="T422" t="s">
        <v>33</v>
      </c>
      <c r="U422" t="s">
        <v>33</v>
      </c>
      <c r="V422" t="s">
        <v>33</v>
      </c>
      <c r="W422" t="s">
        <v>33</v>
      </c>
      <c r="X422" t="s">
        <v>33</v>
      </c>
      <c r="Y422" t="s">
        <v>33</v>
      </c>
      <c r="Z422" t="s">
        <v>33</v>
      </c>
      <c r="AA422" t="s">
        <v>33</v>
      </c>
      <c r="AB422" t="s">
        <v>33</v>
      </c>
      <c r="AC422" t="s">
        <v>33</v>
      </c>
      <c r="AD422" t="s">
        <v>33</v>
      </c>
    </row>
    <row r="423" spans="1:30" x14ac:dyDescent="0.2">
      <c r="A423" t="s">
        <v>30</v>
      </c>
      <c r="B423" t="s">
        <v>1</v>
      </c>
      <c r="C423" t="s">
        <v>2</v>
      </c>
      <c r="D423" t="s">
        <v>111</v>
      </c>
      <c r="E423" t="s">
        <v>187</v>
      </c>
      <c r="F423" t="s">
        <v>1</v>
      </c>
      <c r="G423" t="s">
        <v>32</v>
      </c>
      <c r="I423" t="s">
        <v>35</v>
      </c>
      <c r="J423" t="s">
        <v>36</v>
      </c>
      <c r="K423" t="s">
        <v>37</v>
      </c>
      <c r="L423">
        <v>10000</v>
      </c>
      <c r="M423">
        <v>6</v>
      </c>
      <c r="N423">
        <v>1666.6669999999999</v>
      </c>
      <c r="O423">
        <v>100</v>
      </c>
      <c r="P423">
        <v>100</v>
      </c>
      <c r="Q423">
        <v>335807</v>
      </c>
      <c r="R423">
        <v>90354</v>
      </c>
      <c r="S423">
        <v>334776</v>
      </c>
      <c r="T423">
        <v>86472</v>
      </c>
      <c r="U423">
        <v>273490</v>
      </c>
      <c r="V423">
        <v>89194</v>
      </c>
      <c r="W423">
        <v>78280.7</v>
      </c>
      <c r="X423">
        <v>30015.9</v>
      </c>
      <c r="Y423">
        <v>23.31</v>
      </c>
      <c r="Z423">
        <v>33.22</v>
      </c>
      <c r="AA423">
        <v>94643.25</v>
      </c>
      <c r="AB423">
        <v>29042.65</v>
      </c>
      <c r="AC423">
        <v>28.27</v>
      </c>
      <c r="AD423">
        <v>33.590000000000003</v>
      </c>
    </row>
    <row r="424" spans="1:30" x14ac:dyDescent="0.2">
      <c r="A424" t="s">
        <v>30</v>
      </c>
      <c r="B424" t="s">
        <v>1</v>
      </c>
      <c r="C424" t="s">
        <v>2</v>
      </c>
      <c r="D424" t="s">
        <v>111</v>
      </c>
      <c r="E424" t="s">
        <v>187</v>
      </c>
      <c r="F424" t="s">
        <v>1</v>
      </c>
      <c r="G424" t="s">
        <v>32</v>
      </c>
      <c r="I424" t="s">
        <v>38</v>
      </c>
      <c r="J424" t="s">
        <v>36</v>
      </c>
      <c r="K424" t="s">
        <v>39</v>
      </c>
      <c r="L424">
        <v>4803</v>
      </c>
      <c r="M424">
        <v>6</v>
      </c>
      <c r="N424">
        <v>800.5</v>
      </c>
      <c r="O424">
        <v>48.03</v>
      </c>
      <c r="P424">
        <v>48.03</v>
      </c>
      <c r="Q424">
        <v>337915</v>
      </c>
      <c r="R424">
        <v>91</v>
      </c>
      <c r="S424">
        <v>337867</v>
      </c>
      <c r="T424">
        <v>91</v>
      </c>
      <c r="U424">
        <v>275306</v>
      </c>
      <c r="V424">
        <v>90</v>
      </c>
      <c r="W424">
        <v>77879.91</v>
      </c>
      <c r="X424">
        <v>6.89</v>
      </c>
      <c r="Y424">
        <v>23.05</v>
      </c>
      <c r="Z424">
        <v>7.57</v>
      </c>
      <c r="AA424">
        <v>93618.78</v>
      </c>
      <c r="AB424">
        <v>7.41</v>
      </c>
      <c r="AC424">
        <v>27.71</v>
      </c>
      <c r="AD424">
        <v>8.15</v>
      </c>
    </row>
    <row r="425" spans="1:30" x14ac:dyDescent="0.2">
      <c r="A425" t="s">
        <v>30</v>
      </c>
      <c r="B425" t="s">
        <v>1</v>
      </c>
      <c r="C425" t="s">
        <v>2</v>
      </c>
      <c r="D425" t="s">
        <v>111</v>
      </c>
      <c r="E425" t="s">
        <v>187</v>
      </c>
      <c r="F425" t="s">
        <v>1</v>
      </c>
      <c r="G425" t="s">
        <v>32</v>
      </c>
      <c r="I425" t="s">
        <v>35</v>
      </c>
      <c r="J425" t="s">
        <v>36</v>
      </c>
      <c r="K425" t="s">
        <v>39</v>
      </c>
      <c r="L425">
        <v>10000</v>
      </c>
      <c r="M425">
        <v>6</v>
      </c>
      <c r="N425">
        <v>1666.6669999999999</v>
      </c>
      <c r="O425">
        <v>100</v>
      </c>
      <c r="P425">
        <v>100</v>
      </c>
      <c r="Q425">
        <v>335807</v>
      </c>
      <c r="R425">
        <v>98</v>
      </c>
      <c r="S425">
        <v>334776</v>
      </c>
      <c r="T425">
        <v>98</v>
      </c>
      <c r="U425">
        <v>273490</v>
      </c>
      <c r="V425">
        <v>99</v>
      </c>
      <c r="W425">
        <v>78280.7</v>
      </c>
      <c r="X425">
        <v>9.58</v>
      </c>
      <c r="Y425">
        <v>23.31</v>
      </c>
      <c r="Z425">
        <v>9.82</v>
      </c>
      <c r="AA425">
        <v>94643.25</v>
      </c>
      <c r="AB425">
        <v>10.38</v>
      </c>
      <c r="AC425">
        <v>28.27</v>
      </c>
      <c r="AD425">
        <v>10.59</v>
      </c>
    </row>
    <row r="426" spans="1:30" x14ac:dyDescent="0.2">
      <c r="A426" t="s">
        <v>30</v>
      </c>
      <c r="B426" t="s">
        <v>1</v>
      </c>
      <c r="C426" t="s">
        <v>2</v>
      </c>
      <c r="D426" t="s">
        <v>111</v>
      </c>
      <c r="E426" t="s">
        <v>187</v>
      </c>
      <c r="F426" t="s">
        <v>1</v>
      </c>
      <c r="G426" t="s">
        <v>32</v>
      </c>
      <c r="I426" t="s">
        <v>38</v>
      </c>
      <c r="J426" t="s">
        <v>40</v>
      </c>
      <c r="L426">
        <v>4803</v>
      </c>
      <c r="M426">
        <v>6</v>
      </c>
      <c r="N426">
        <v>800.5</v>
      </c>
      <c r="O426">
        <v>48.03</v>
      </c>
      <c r="P426">
        <v>48.03</v>
      </c>
      <c r="Q426">
        <v>177</v>
      </c>
      <c r="R426" t="s">
        <v>33</v>
      </c>
      <c r="S426">
        <v>166</v>
      </c>
      <c r="T426" t="s">
        <v>33</v>
      </c>
      <c r="U426">
        <v>187</v>
      </c>
      <c r="V426" t="s">
        <v>33</v>
      </c>
      <c r="W426">
        <v>73.69</v>
      </c>
      <c r="X426" t="s">
        <v>33</v>
      </c>
      <c r="Y426">
        <v>41.68</v>
      </c>
      <c r="Z426" t="s">
        <v>33</v>
      </c>
      <c r="AA426">
        <v>68.2</v>
      </c>
      <c r="AB426" t="s">
        <v>33</v>
      </c>
      <c r="AC426">
        <v>41.08</v>
      </c>
      <c r="AD426" t="s">
        <v>33</v>
      </c>
    </row>
    <row r="427" spans="1:30" x14ac:dyDescent="0.2">
      <c r="A427" t="s">
        <v>30</v>
      </c>
      <c r="B427" t="s">
        <v>1</v>
      </c>
      <c r="C427" t="s">
        <v>2</v>
      </c>
      <c r="D427" t="s">
        <v>111</v>
      </c>
      <c r="E427" t="s">
        <v>187</v>
      </c>
      <c r="F427" t="s">
        <v>1</v>
      </c>
      <c r="G427" t="s">
        <v>32</v>
      </c>
      <c r="I427" t="s">
        <v>38</v>
      </c>
      <c r="J427" t="s">
        <v>41</v>
      </c>
      <c r="L427">
        <v>4803</v>
      </c>
      <c r="M427">
        <v>6</v>
      </c>
      <c r="N427">
        <v>800.5</v>
      </c>
      <c r="O427">
        <v>48.03</v>
      </c>
      <c r="P427">
        <v>48.03</v>
      </c>
      <c r="Q427">
        <v>528</v>
      </c>
      <c r="R427" t="s">
        <v>33</v>
      </c>
      <c r="S427">
        <v>459</v>
      </c>
      <c r="T427" t="s">
        <v>33</v>
      </c>
      <c r="U427">
        <v>510</v>
      </c>
      <c r="V427" t="s">
        <v>33</v>
      </c>
      <c r="W427">
        <v>324.87</v>
      </c>
      <c r="X427" t="s">
        <v>33</v>
      </c>
      <c r="Y427">
        <v>61.47</v>
      </c>
      <c r="Z427" t="s">
        <v>33</v>
      </c>
      <c r="AA427">
        <v>249.08</v>
      </c>
      <c r="AB427" t="s">
        <v>33</v>
      </c>
      <c r="AC427">
        <v>54.27</v>
      </c>
      <c r="AD427" t="s">
        <v>33</v>
      </c>
    </row>
    <row r="428" spans="1:30" x14ac:dyDescent="0.2">
      <c r="A428" t="s">
        <v>30</v>
      </c>
      <c r="B428" t="s">
        <v>1</v>
      </c>
      <c r="C428" t="s">
        <v>2</v>
      </c>
      <c r="D428" t="s">
        <v>112</v>
      </c>
      <c r="E428" t="s">
        <v>153</v>
      </c>
      <c r="F428" t="s">
        <v>1</v>
      </c>
      <c r="G428" t="s">
        <v>32</v>
      </c>
      <c r="H428" t="s">
        <v>33</v>
      </c>
      <c r="I428" t="s">
        <v>34</v>
      </c>
      <c r="J428" t="s">
        <v>33</v>
      </c>
      <c r="K428" t="s">
        <v>33</v>
      </c>
      <c r="L428">
        <v>10000</v>
      </c>
      <c r="M428">
        <v>3</v>
      </c>
      <c r="N428">
        <v>3333.3330000000001</v>
      </c>
      <c r="O428">
        <v>100</v>
      </c>
      <c r="P428">
        <v>100</v>
      </c>
      <c r="Q428" t="s">
        <v>33</v>
      </c>
      <c r="R428" t="s">
        <v>33</v>
      </c>
      <c r="S428" t="s">
        <v>33</v>
      </c>
      <c r="T428" t="s">
        <v>33</v>
      </c>
      <c r="U428" t="s">
        <v>33</v>
      </c>
      <c r="V428" t="s">
        <v>33</v>
      </c>
      <c r="W428" t="s">
        <v>33</v>
      </c>
      <c r="X428" t="s">
        <v>33</v>
      </c>
      <c r="Y428" t="s">
        <v>33</v>
      </c>
      <c r="Z428" t="s">
        <v>33</v>
      </c>
      <c r="AA428" t="s">
        <v>33</v>
      </c>
      <c r="AB428" t="s">
        <v>33</v>
      </c>
      <c r="AC428" t="s">
        <v>33</v>
      </c>
      <c r="AD428" t="s">
        <v>33</v>
      </c>
    </row>
    <row r="429" spans="1:30" x14ac:dyDescent="0.2">
      <c r="A429" t="s">
        <v>30</v>
      </c>
      <c r="B429" t="s">
        <v>1</v>
      </c>
      <c r="C429" t="s">
        <v>2</v>
      </c>
      <c r="D429" t="s">
        <v>112</v>
      </c>
      <c r="E429" t="s">
        <v>153</v>
      </c>
      <c r="F429" t="s">
        <v>1</v>
      </c>
      <c r="G429" t="s">
        <v>32</v>
      </c>
      <c r="I429" t="s">
        <v>35</v>
      </c>
      <c r="J429" t="s">
        <v>36</v>
      </c>
      <c r="K429" t="s">
        <v>37</v>
      </c>
      <c r="L429">
        <v>10000</v>
      </c>
      <c r="M429">
        <v>3</v>
      </c>
      <c r="N429">
        <v>3333.3330000000001</v>
      </c>
      <c r="O429">
        <v>100</v>
      </c>
      <c r="P429">
        <v>100</v>
      </c>
      <c r="Q429">
        <v>338481</v>
      </c>
      <c r="R429">
        <v>91659</v>
      </c>
      <c r="S429">
        <v>342410</v>
      </c>
      <c r="T429">
        <v>88775</v>
      </c>
      <c r="U429">
        <v>342980</v>
      </c>
      <c r="V429">
        <v>85104</v>
      </c>
      <c r="W429">
        <v>75202.22</v>
      </c>
      <c r="X429">
        <v>29479.200000000001</v>
      </c>
      <c r="Y429">
        <v>22.22</v>
      </c>
      <c r="Z429">
        <v>32.159999999999997</v>
      </c>
      <c r="AA429">
        <v>86765.46</v>
      </c>
      <c r="AB429">
        <v>27854.35</v>
      </c>
      <c r="AC429">
        <v>25.34</v>
      </c>
      <c r="AD429">
        <v>31.38</v>
      </c>
    </row>
    <row r="430" spans="1:30" x14ac:dyDescent="0.2">
      <c r="A430" t="s">
        <v>30</v>
      </c>
      <c r="B430" t="s">
        <v>1</v>
      </c>
      <c r="C430" t="s">
        <v>2</v>
      </c>
      <c r="D430" t="s">
        <v>112</v>
      </c>
      <c r="E430" t="s">
        <v>153</v>
      </c>
      <c r="F430" t="s">
        <v>1</v>
      </c>
      <c r="G430" t="s">
        <v>32</v>
      </c>
      <c r="I430" t="s">
        <v>38</v>
      </c>
      <c r="J430" t="s">
        <v>36</v>
      </c>
      <c r="K430" t="s">
        <v>39</v>
      </c>
      <c r="L430">
        <v>5292</v>
      </c>
      <c r="M430">
        <v>3</v>
      </c>
      <c r="N430">
        <v>1764</v>
      </c>
      <c r="O430">
        <v>52.92</v>
      </c>
      <c r="P430">
        <v>52.92</v>
      </c>
      <c r="Q430">
        <v>338501</v>
      </c>
      <c r="R430">
        <v>91</v>
      </c>
      <c r="S430">
        <v>342759</v>
      </c>
      <c r="T430">
        <v>91</v>
      </c>
      <c r="U430">
        <v>369519</v>
      </c>
      <c r="V430">
        <v>90</v>
      </c>
      <c r="W430">
        <v>75472.66</v>
      </c>
      <c r="X430">
        <v>6.78</v>
      </c>
      <c r="Y430">
        <v>22.3</v>
      </c>
      <c r="Z430">
        <v>7.45</v>
      </c>
      <c r="AA430">
        <v>87291.78</v>
      </c>
      <c r="AB430">
        <v>7.41</v>
      </c>
      <c r="AC430">
        <v>25.47</v>
      </c>
      <c r="AD430">
        <v>8.15</v>
      </c>
    </row>
    <row r="431" spans="1:30" x14ac:dyDescent="0.2">
      <c r="A431" t="s">
        <v>30</v>
      </c>
      <c r="B431" t="s">
        <v>1</v>
      </c>
      <c r="C431" t="s">
        <v>2</v>
      </c>
      <c r="D431" t="s">
        <v>112</v>
      </c>
      <c r="E431" t="s">
        <v>153</v>
      </c>
      <c r="F431" t="s">
        <v>1</v>
      </c>
      <c r="G431" t="s">
        <v>32</v>
      </c>
      <c r="I431" t="s">
        <v>35</v>
      </c>
      <c r="J431" t="s">
        <v>36</v>
      </c>
      <c r="K431" t="s">
        <v>39</v>
      </c>
      <c r="L431">
        <v>10000</v>
      </c>
      <c r="M431">
        <v>3</v>
      </c>
      <c r="N431">
        <v>3333.3330000000001</v>
      </c>
      <c r="O431">
        <v>100</v>
      </c>
      <c r="P431">
        <v>100</v>
      </c>
      <c r="Q431">
        <v>338481</v>
      </c>
      <c r="R431">
        <v>97</v>
      </c>
      <c r="S431">
        <v>342410</v>
      </c>
      <c r="T431">
        <v>97</v>
      </c>
      <c r="U431">
        <v>342980</v>
      </c>
      <c r="V431">
        <v>98</v>
      </c>
      <c r="W431">
        <v>75202.22</v>
      </c>
      <c r="X431">
        <v>9.73</v>
      </c>
      <c r="Y431">
        <v>22.22</v>
      </c>
      <c r="Z431">
        <v>10</v>
      </c>
      <c r="AA431">
        <v>86765.46</v>
      </c>
      <c r="AB431">
        <v>10.38</v>
      </c>
      <c r="AC431">
        <v>25.34</v>
      </c>
      <c r="AD431">
        <v>10.7</v>
      </c>
    </row>
    <row r="432" spans="1:30" x14ac:dyDescent="0.2">
      <c r="A432" t="s">
        <v>30</v>
      </c>
      <c r="B432" t="s">
        <v>1</v>
      </c>
      <c r="C432" t="s">
        <v>2</v>
      </c>
      <c r="D432" t="s">
        <v>112</v>
      </c>
      <c r="E432" t="s">
        <v>153</v>
      </c>
      <c r="F432" t="s">
        <v>1</v>
      </c>
      <c r="G432" t="s">
        <v>32</v>
      </c>
      <c r="I432" t="s">
        <v>38</v>
      </c>
      <c r="J432" t="s">
        <v>40</v>
      </c>
      <c r="L432">
        <v>5292</v>
      </c>
      <c r="M432">
        <v>3</v>
      </c>
      <c r="N432">
        <v>1764</v>
      </c>
      <c r="O432">
        <v>52.92</v>
      </c>
      <c r="P432">
        <v>52.92</v>
      </c>
      <c r="Q432">
        <v>172</v>
      </c>
      <c r="R432" t="s">
        <v>33</v>
      </c>
      <c r="S432">
        <v>163</v>
      </c>
      <c r="T432" t="s">
        <v>33</v>
      </c>
      <c r="U432">
        <v>168</v>
      </c>
      <c r="V432" t="s">
        <v>33</v>
      </c>
      <c r="W432">
        <v>69.400000000000006</v>
      </c>
      <c r="X432" t="s">
        <v>33</v>
      </c>
      <c r="Y432">
        <v>40.25</v>
      </c>
      <c r="Z432" t="s">
        <v>33</v>
      </c>
      <c r="AA432">
        <v>66.72</v>
      </c>
      <c r="AB432" t="s">
        <v>33</v>
      </c>
      <c r="AC432">
        <v>40.93</v>
      </c>
      <c r="AD432" t="s">
        <v>33</v>
      </c>
    </row>
    <row r="433" spans="1:30" x14ac:dyDescent="0.2">
      <c r="A433" t="s">
        <v>30</v>
      </c>
      <c r="B433" t="s">
        <v>1</v>
      </c>
      <c r="C433" t="s">
        <v>2</v>
      </c>
      <c r="D433" t="s">
        <v>112</v>
      </c>
      <c r="E433" t="s">
        <v>153</v>
      </c>
      <c r="F433" t="s">
        <v>1</v>
      </c>
      <c r="G433" t="s">
        <v>32</v>
      </c>
      <c r="I433" t="s">
        <v>38</v>
      </c>
      <c r="J433" t="s">
        <v>41</v>
      </c>
      <c r="L433">
        <v>5292</v>
      </c>
      <c r="M433">
        <v>3</v>
      </c>
      <c r="N433">
        <v>1764</v>
      </c>
      <c r="O433">
        <v>52.92</v>
      </c>
      <c r="P433">
        <v>52.92</v>
      </c>
      <c r="Q433">
        <v>244</v>
      </c>
      <c r="R433" t="s">
        <v>33</v>
      </c>
      <c r="S433">
        <v>215</v>
      </c>
      <c r="T433" t="s">
        <v>33</v>
      </c>
      <c r="U433">
        <v>245</v>
      </c>
      <c r="V433" t="s">
        <v>33</v>
      </c>
      <c r="W433">
        <v>143.75</v>
      </c>
      <c r="X433" t="s">
        <v>33</v>
      </c>
      <c r="Y433">
        <v>58.82</v>
      </c>
      <c r="Z433" t="s">
        <v>33</v>
      </c>
      <c r="AA433">
        <v>112.68</v>
      </c>
      <c r="AB433" t="s">
        <v>33</v>
      </c>
      <c r="AC433">
        <v>52.41</v>
      </c>
      <c r="AD433" t="s">
        <v>33</v>
      </c>
    </row>
  </sheetData>
  <autoFilter ref="A1:AD433" xr:uid="{D6297940-8AA2-F841-9402-0BCA59C148CF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E71DB-3A47-4B47-BFAC-947DEDB3137F}">
  <dimension ref="A1:EI73"/>
  <sheetViews>
    <sheetView tabSelected="1" topLeftCell="DX1" zoomScale="120" zoomScaleNormal="120" workbookViewId="0">
      <selection activeCell="DX13" sqref="DX13"/>
    </sheetView>
  </sheetViews>
  <sheetFormatPr baseColWidth="10" defaultRowHeight="16" x14ac:dyDescent="0.2"/>
  <cols>
    <col min="1" max="1" width="16" customWidth="1"/>
    <col min="2" max="2" width="38.33203125" customWidth="1"/>
    <col min="7" max="7" width="16.1640625" customWidth="1"/>
    <col min="8" max="8" width="40.1640625" customWidth="1"/>
    <col min="10" max="10" width="16.1640625" customWidth="1"/>
    <col min="11" max="11" width="38.33203125" customWidth="1"/>
    <col min="16" max="16" width="20.6640625" customWidth="1"/>
    <col min="17" max="17" width="36" customWidth="1"/>
    <col min="21" max="21" width="20" customWidth="1"/>
    <col min="22" max="22" width="44" customWidth="1"/>
    <col min="24" max="24" width="16.33203125" customWidth="1"/>
    <col min="28" max="28" width="15.83203125" customWidth="1"/>
    <col min="39" max="39" width="21.1640625" customWidth="1"/>
    <col min="40" max="40" width="39.83203125" customWidth="1"/>
    <col min="44" max="44" width="18.33203125" customWidth="1"/>
    <col min="45" max="45" width="31.83203125" customWidth="1"/>
    <col min="48" max="48" width="20.83203125" customWidth="1"/>
    <col min="49" max="49" width="43" customWidth="1"/>
    <col min="54" max="54" width="18.33203125" customWidth="1"/>
    <col min="55" max="55" width="42.83203125" customWidth="1"/>
    <col min="57" max="57" width="16.5" customWidth="1"/>
    <col min="58" max="58" width="57.1640625" customWidth="1"/>
    <col min="60" max="60" width="15" customWidth="1"/>
    <col min="61" max="61" width="48.1640625" customWidth="1"/>
    <col min="63" max="63" width="14.33203125" customWidth="1"/>
    <col min="64" max="64" width="23.83203125" customWidth="1"/>
    <col min="66" max="66" width="13.33203125" customWidth="1"/>
    <col min="67" max="67" width="20" customWidth="1"/>
    <col min="70" max="70" width="16.1640625" customWidth="1"/>
    <col min="71" max="71" width="43.83203125" customWidth="1"/>
    <col min="90" max="90" width="6.6640625" customWidth="1"/>
    <col min="91" max="91" width="0" hidden="1" customWidth="1"/>
    <col min="92" max="92" width="4.83203125" hidden="1" customWidth="1"/>
    <col min="93" max="93" width="0.1640625" hidden="1" customWidth="1"/>
    <col min="94" max="94" width="29" customWidth="1"/>
    <col min="97" max="97" width="16.33203125" customWidth="1"/>
    <col min="98" max="98" width="55" customWidth="1"/>
    <col min="102" max="102" width="18.33203125" customWidth="1"/>
    <col min="103" max="103" width="40.83203125" customWidth="1"/>
    <col min="105" max="105" width="16.83203125" customWidth="1"/>
    <col min="106" max="106" width="44" customWidth="1"/>
    <col min="110" max="110" width="22" customWidth="1"/>
    <col min="111" max="111" width="50.33203125" customWidth="1"/>
    <col min="122" max="122" width="20.83203125" customWidth="1"/>
    <col min="123" max="123" width="58.33203125" customWidth="1"/>
    <col min="127" max="127" width="20.33203125" customWidth="1"/>
    <col min="128" max="128" width="43.33203125" customWidth="1"/>
    <col min="132" max="132" width="10.83203125" customWidth="1"/>
  </cols>
  <sheetData>
    <row r="1" spans="1:139" x14ac:dyDescent="0.2">
      <c r="A1" t="s">
        <v>188</v>
      </c>
      <c r="B1" t="s">
        <v>189</v>
      </c>
      <c r="D1" t="s">
        <v>180</v>
      </c>
      <c r="E1">
        <v>187</v>
      </c>
      <c r="G1" t="s">
        <v>188</v>
      </c>
      <c r="H1" t="s">
        <v>191</v>
      </c>
      <c r="J1" t="s">
        <v>4</v>
      </c>
      <c r="K1" t="s">
        <v>192</v>
      </c>
      <c r="M1" t="s">
        <v>180</v>
      </c>
      <c r="N1">
        <v>71</v>
      </c>
      <c r="P1" t="s">
        <v>4</v>
      </c>
      <c r="Q1" t="s">
        <v>194</v>
      </c>
      <c r="U1" t="s">
        <v>4</v>
      </c>
      <c r="V1" t="s">
        <v>195</v>
      </c>
      <c r="X1" t="s">
        <v>4</v>
      </c>
      <c r="AB1" t="s">
        <v>4</v>
      </c>
      <c r="AM1" t="s">
        <v>4</v>
      </c>
      <c r="AN1" t="s">
        <v>217</v>
      </c>
      <c r="AO1" t="s">
        <v>180</v>
      </c>
      <c r="AP1">
        <v>158</v>
      </c>
      <c r="AR1" t="s">
        <v>4</v>
      </c>
      <c r="AS1" t="s">
        <v>218</v>
      </c>
      <c r="AV1" t="s">
        <v>4</v>
      </c>
      <c r="AW1" t="s">
        <v>219</v>
      </c>
      <c r="AY1" t="s">
        <v>180</v>
      </c>
      <c r="AZ1">
        <v>68</v>
      </c>
      <c r="BB1" t="s">
        <v>4</v>
      </c>
      <c r="BC1" t="s">
        <v>220</v>
      </c>
      <c r="BE1" s="1" t="s">
        <v>4</v>
      </c>
      <c r="BF1" t="s">
        <v>221</v>
      </c>
      <c r="BH1" t="s">
        <v>4</v>
      </c>
      <c r="BI1" t="s">
        <v>222</v>
      </c>
      <c r="BK1" t="s">
        <v>4</v>
      </c>
      <c r="BL1" t="s">
        <v>224</v>
      </c>
      <c r="BN1" t="s">
        <v>4</v>
      </c>
      <c r="BO1" t="s">
        <v>225</v>
      </c>
      <c r="BR1" t="s">
        <v>4</v>
      </c>
      <c r="BS1" t="s">
        <v>223</v>
      </c>
      <c r="CP1" t="s">
        <v>239</v>
      </c>
      <c r="CS1" t="s">
        <v>188</v>
      </c>
      <c r="CT1" t="s">
        <v>233</v>
      </c>
      <c r="CU1" t="s">
        <v>180</v>
      </c>
      <c r="CV1">
        <v>180</v>
      </c>
      <c r="CX1" t="s">
        <v>188</v>
      </c>
      <c r="CY1" t="s">
        <v>235</v>
      </c>
      <c r="DA1" t="s">
        <v>188</v>
      </c>
      <c r="DB1" t="s">
        <v>236</v>
      </c>
      <c r="DC1" t="s">
        <v>180</v>
      </c>
      <c r="DD1">
        <v>73</v>
      </c>
      <c r="DF1" t="s">
        <v>188</v>
      </c>
      <c r="DG1" t="s">
        <v>237</v>
      </c>
      <c r="DR1" t="s">
        <v>188</v>
      </c>
      <c r="DS1" t="s">
        <v>238</v>
      </c>
      <c r="DW1" t="s">
        <v>227</v>
      </c>
      <c r="DX1" t="s">
        <v>242</v>
      </c>
      <c r="DZ1" t="s">
        <v>246</v>
      </c>
      <c r="EI1" t="s">
        <v>247</v>
      </c>
    </row>
    <row r="2" spans="1:139" x14ac:dyDescent="0.2">
      <c r="A2" t="s">
        <v>115</v>
      </c>
      <c r="B2">
        <v>310</v>
      </c>
      <c r="D2" t="s">
        <v>129</v>
      </c>
      <c r="E2">
        <v>155</v>
      </c>
      <c r="G2" t="s">
        <v>115</v>
      </c>
      <c r="H2">
        <f>B2-169</f>
        <v>141</v>
      </c>
      <c r="J2" t="s">
        <v>115</v>
      </c>
      <c r="K2">
        <v>71</v>
      </c>
      <c r="M2" t="s">
        <v>129</v>
      </c>
      <c r="N2">
        <v>69</v>
      </c>
      <c r="P2" t="s">
        <v>115</v>
      </c>
      <c r="Q2">
        <f>K2-69.67</f>
        <v>1.3299999999999983</v>
      </c>
      <c r="U2" t="s">
        <v>115</v>
      </c>
      <c r="V2">
        <f>Q2/H2</f>
        <v>9.4326241134751656E-3</v>
      </c>
      <c r="X2" t="s">
        <v>113</v>
      </c>
      <c r="Y2">
        <f>(V2+V6+V10+V20+V24+V28+V38+V42+V46+V56+V60+V64)/12</f>
        <v>56.113573619407127</v>
      </c>
      <c r="AB2" t="s">
        <v>113</v>
      </c>
      <c r="AC2">
        <f>Y2</f>
        <v>56.113573619407127</v>
      </c>
      <c r="AM2" t="s">
        <v>181</v>
      </c>
      <c r="AN2">
        <v>660</v>
      </c>
      <c r="AO2" t="s">
        <v>129</v>
      </c>
      <c r="AP2">
        <v>173</v>
      </c>
      <c r="AR2" t="s">
        <v>181</v>
      </c>
      <c r="AS2">
        <f>AN2-169</f>
        <v>491</v>
      </c>
      <c r="AV2" t="s">
        <v>181</v>
      </c>
      <c r="AW2">
        <v>690</v>
      </c>
      <c r="AY2" t="s">
        <v>129</v>
      </c>
      <c r="AZ2">
        <v>69</v>
      </c>
      <c r="BB2" t="s">
        <v>181</v>
      </c>
      <c r="BC2">
        <f>AW2-68.67</f>
        <v>621.33000000000004</v>
      </c>
      <c r="BE2" s="1" t="s">
        <v>181</v>
      </c>
      <c r="BF2">
        <f>BC2/AS2</f>
        <v>1.2654378818737271</v>
      </c>
      <c r="BH2" t="s">
        <v>113</v>
      </c>
      <c r="BI2">
        <f>(BF3+BF7+BF11+BF21+BF25+BF29+BF39+BF43+BF47+BF57+BF61+BF65)/12</f>
        <v>72.143339945675578</v>
      </c>
      <c r="BK2" t="s">
        <v>113</v>
      </c>
      <c r="BL2">
        <f>BI2</f>
        <v>72.143339945675578</v>
      </c>
      <c r="BN2" t="s">
        <v>113</v>
      </c>
      <c r="BO2">
        <f>AC2</f>
        <v>56.113573619407127</v>
      </c>
      <c r="BU2" t="s">
        <v>226</v>
      </c>
      <c r="CS2" s="2" t="s">
        <v>120</v>
      </c>
      <c r="CT2" s="3">
        <v>407</v>
      </c>
      <c r="CU2" t="s">
        <v>129</v>
      </c>
      <c r="CV2">
        <v>187</v>
      </c>
      <c r="CX2" s="2" t="s">
        <v>120</v>
      </c>
      <c r="CY2">
        <f>CT2-175</f>
        <v>232</v>
      </c>
      <c r="DA2" s="2" t="s">
        <v>120</v>
      </c>
      <c r="DB2" s="3">
        <v>14989</v>
      </c>
      <c r="DC2" t="s">
        <v>129</v>
      </c>
      <c r="DD2">
        <v>73</v>
      </c>
      <c r="DF2" s="2" t="s">
        <v>120</v>
      </c>
      <c r="DG2">
        <f>DB2-72.33</f>
        <v>14916.67</v>
      </c>
      <c r="DR2" s="2" t="s">
        <v>120</v>
      </c>
      <c r="DS2">
        <f>DG2/CY2</f>
        <v>64.295991379310351</v>
      </c>
      <c r="DW2" t="s">
        <v>118</v>
      </c>
      <c r="DX2">
        <f xml:space="preserve"> (V7+V8+V9+BF8+BF9+BF10+DS7+DS8+DS9)/9</f>
        <v>68.176933914552052</v>
      </c>
      <c r="DZ2" cm="1">
        <f t="array" ref="DZ2:EB2">TRANSPOSE(V7:V9)</f>
        <v>57.40837837837838</v>
      </c>
      <c r="EA2">
        <v>60.372342342342343</v>
      </c>
      <c r="EB2">
        <v>56.095533333333336</v>
      </c>
      <c r="EC2" cm="1">
        <f t="array" ref="EC2:EE2">TRANSPOSE(BF8:BF10)</f>
        <v>71.216904761904757</v>
      </c>
      <c r="ED2">
        <v>68.540206896551723</v>
      </c>
      <c r="EE2">
        <v>70.052357142857147</v>
      </c>
      <c r="EF2" cm="1">
        <f t="array" ref="EF2:EH2">TRANSPOSE(DS7:DS9)</f>
        <v>73.716074074074072</v>
      </c>
      <c r="EG2">
        <v>76.944045801526713</v>
      </c>
      <c r="EH2">
        <v>79.246562499999996</v>
      </c>
      <c r="EI2">
        <f>AVERAGE(DZ2:EH2)</f>
        <v>68.176933914552052</v>
      </c>
    </row>
    <row r="3" spans="1:139" x14ac:dyDescent="0.2">
      <c r="A3" t="s">
        <v>120</v>
      </c>
      <c r="B3">
        <v>448</v>
      </c>
      <c r="D3" t="s">
        <v>151</v>
      </c>
      <c r="E3">
        <v>165</v>
      </c>
      <c r="G3" t="s">
        <v>120</v>
      </c>
      <c r="H3">
        <f t="shared" ref="H3:H66" si="0">B3-169</f>
        <v>279</v>
      </c>
      <c r="J3" t="s">
        <v>120</v>
      </c>
      <c r="K3">
        <v>14837</v>
      </c>
      <c r="M3" t="s">
        <v>151</v>
      </c>
      <c r="N3">
        <v>69</v>
      </c>
      <c r="P3" t="s">
        <v>120</v>
      </c>
      <c r="Q3">
        <f t="shared" ref="Q3:Q66" si="1">K3-69.67</f>
        <v>14767.33</v>
      </c>
      <c r="U3" t="s">
        <v>120</v>
      </c>
      <c r="V3">
        <f t="shared" ref="V3:V66" si="2">Q3/H3</f>
        <v>52.929498207885302</v>
      </c>
      <c r="X3" t="s">
        <v>196</v>
      </c>
      <c r="Y3">
        <f>(V4+V5)/2</f>
        <v>28.152963411424057</v>
      </c>
      <c r="Z3" t="s">
        <v>197</v>
      </c>
      <c r="AB3" t="s">
        <v>196</v>
      </c>
      <c r="AC3">
        <f t="shared" ref="AC3:AC14" si="3">Y3</f>
        <v>28.152963411424057</v>
      </c>
      <c r="AK3" t="s">
        <v>215</v>
      </c>
      <c r="AM3" t="s">
        <v>120</v>
      </c>
      <c r="AN3">
        <v>443</v>
      </c>
      <c r="AO3" t="s">
        <v>151</v>
      </c>
      <c r="AP3">
        <v>176</v>
      </c>
      <c r="AR3" t="s">
        <v>120</v>
      </c>
      <c r="AS3">
        <f t="shared" ref="AS3:AS66" si="4">AN3-169</f>
        <v>274</v>
      </c>
      <c r="AV3" t="s">
        <v>120</v>
      </c>
      <c r="AW3">
        <v>20569</v>
      </c>
      <c r="AY3" t="s">
        <v>151</v>
      </c>
      <c r="AZ3">
        <v>69</v>
      </c>
      <c r="BB3" t="s">
        <v>120</v>
      </c>
      <c r="BC3">
        <f t="shared" ref="BC3:BC66" si="5">AW3-68.67</f>
        <v>20500.330000000002</v>
      </c>
      <c r="BE3" s="1" t="s">
        <v>120</v>
      </c>
      <c r="BF3">
        <f t="shared" ref="BF3:BF66" si="6">BC3/AS3</f>
        <v>74.81872262773723</v>
      </c>
      <c r="BH3" t="s">
        <v>196</v>
      </c>
      <c r="BI3">
        <f>(BF4+BF5+BF6)/3</f>
        <v>39.168709661848972</v>
      </c>
      <c r="BK3" t="s">
        <v>196</v>
      </c>
      <c r="BL3">
        <f t="shared" ref="BL3:BL14" si="7">BI3</f>
        <v>39.168709661848972</v>
      </c>
      <c r="BN3" t="s">
        <v>196</v>
      </c>
      <c r="BO3">
        <f t="shared" ref="BO3:BO14" si="8">AC3</f>
        <v>28.152963411424057</v>
      </c>
      <c r="BR3" t="s">
        <v>196</v>
      </c>
      <c r="BS3">
        <f>(V4+V5+BF4+BF5+BF6)/5</f>
        <v>34.762411161679005</v>
      </c>
      <c r="BU3" t="s">
        <v>196</v>
      </c>
      <c r="BV3" cm="1">
        <f t="array" ref="BV3:BW3">TRANSPOSE(V4:V5)</f>
        <v>28.407099236641219</v>
      </c>
      <c r="BW3">
        <v>27.898827586206895</v>
      </c>
      <c r="BX3" cm="1">
        <f t="array" ref="BX3:BZ3">TRANSPOSE(BF4:BF6)</f>
        <v>37.978809523809524</v>
      </c>
      <c r="BY3">
        <v>40.718537735849054</v>
      </c>
      <c r="BZ3">
        <v>38.808781725888323</v>
      </c>
      <c r="CA3" t="s">
        <v>245</v>
      </c>
      <c r="CB3">
        <f>AVERAGE(BV3:CA3)</f>
        <v>34.762411161679005</v>
      </c>
      <c r="CS3" s="2" t="s">
        <v>115</v>
      </c>
      <c r="CT3" s="3">
        <v>310</v>
      </c>
      <c r="CU3" t="s">
        <v>151</v>
      </c>
      <c r="CV3">
        <v>158</v>
      </c>
      <c r="CX3" s="2" t="s">
        <v>115</v>
      </c>
      <c r="CY3">
        <f t="shared" ref="CY3:CY66" si="9">CT3-175</f>
        <v>135</v>
      </c>
      <c r="DA3" s="2" t="s">
        <v>115</v>
      </c>
      <c r="DB3" s="3">
        <v>5759</v>
      </c>
      <c r="DC3" t="s">
        <v>151</v>
      </c>
      <c r="DD3">
        <v>71</v>
      </c>
      <c r="DF3" s="2" t="s">
        <v>115</v>
      </c>
      <c r="DG3">
        <f t="shared" ref="DG3:DG66" si="10">DB3-72.33</f>
        <v>5686.67</v>
      </c>
      <c r="DR3" s="2" t="s">
        <v>115</v>
      </c>
      <c r="DS3">
        <f t="shared" ref="DS3:DS66" si="11">DG3/CY3</f>
        <v>42.123481481481484</v>
      </c>
      <c r="DW3" t="s">
        <v>205</v>
      </c>
      <c r="DX3">
        <f xml:space="preserve"> (V25+V26+V27+BF26+BF27+BF28+DS25+DS26+DS27)/9</f>
        <v>64.337649014542478</v>
      </c>
      <c r="DZ3" cm="1">
        <f t="array" ref="DZ3:EB3">TRANSPOSE(V25:V27)</f>
        <v>55.064396135265703</v>
      </c>
      <c r="EA3">
        <v>59.960410958904106</v>
      </c>
      <c r="EB3">
        <v>58.52476923076923</v>
      </c>
      <c r="EC3" cm="1">
        <f t="array" ref="EC3:EE3">TRANSPOSE(BF26:BF28)</f>
        <v>68.607421602787468</v>
      </c>
      <c r="ED3">
        <v>58.680335820895522</v>
      </c>
      <c r="EE3">
        <v>70.278483870967747</v>
      </c>
      <c r="EF3" cm="1">
        <f t="array" ref="EF3:EH3">TRANSPOSE(DS25:DS27)</f>
        <v>69.883554216867466</v>
      </c>
      <c r="EG3">
        <v>70.71058536585366</v>
      </c>
      <c r="EH3">
        <v>67.328883928571429</v>
      </c>
      <c r="EI3">
        <f t="shared" ref="EI3:EI13" si="12">AVERAGE(DZ3:EH3)</f>
        <v>64.337649014542478</v>
      </c>
    </row>
    <row r="4" spans="1:139" x14ac:dyDescent="0.2">
      <c r="A4" t="s">
        <v>116</v>
      </c>
      <c r="B4">
        <v>300</v>
      </c>
      <c r="D4" t="s">
        <v>190</v>
      </c>
      <c r="E4">
        <f>(E1+E2+E3)/3</f>
        <v>169</v>
      </c>
      <c r="G4" t="s">
        <v>116</v>
      </c>
      <c r="H4">
        <f t="shared" si="0"/>
        <v>131</v>
      </c>
      <c r="J4" t="s">
        <v>116</v>
      </c>
      <c r="K4">
        <v>3791</v>
      </c>
      <c r="M4" t="s">
        <v>193</v>
      </c>
      <c r="N4">
        <f>(N1+N2+N3)/3</f>
        <v>69.666666666666671</v>
      </c>
      <c r="P4" t="s">
        <v>116</v>
      </c>
      <c r="Q4">
        <f t="shared" si="1"/>
        <v>3721.33</v>
      </c>
      <c r="U4" t="s">
        <v>116</v>
      </c>
      <c r="V4">
        <f t="shared" si="2"/>
        <v>28.407099236641219</v>
      </c>
      <c r="X4" t="s">
        <v>198</v>
      </c>
      <c r="Y4">
        <f>(V21+V22+V23)/3</f>
        <v>9.4684952827263853</v>
      </c>
      <c r="AB4" t="s">
        <v>198</v>
      </c>
      <c r="AC4">
        <f t="shared" si="3"/>
        <v>9.4684952827263853</v>
      </c>
      <c r="AM4" t="s">
        <v>115</v>
      </c>
      <c r="AN4">
        <v>295</v>
      </c>
      <c r="AP4">
        <f>(AP1+AP2+AP3)/3</f>
        <v>169</v>
      </c>
      <c r="AR4" t="s">
        <v>115</v>
      </c>
      <c r="AS4">
        <f t="shared" si="4"/>
        <v>126</v>
      </c>
      <c r="AV4" t="s">
        <v>115</v>
      </c>
      <c r="AW4">
        <v>4854</v>
      </c>
      <c r="AZ4">
        <f>(AZ1+AZ2+AZ3)/3</f>
        <v>68.666666666666671</v>
      </c>
      <c r="BB4" t="s">
        <v>115</v>
      </c>
      <c r="BC4">
        <f t="shared" si="5"/>
        <v>4785.33</v>
      </c>
      <c r="BE4" s="1" t="s">
        <v>115</v>
      </c>
      <c r="BF4">
        <f t="shared" si="6"/>
        <v>37.978809523809524</v>
      </c>
      <c r="BH4" t="s">
        <v>198</v>
      </c>
      <c r="BI4">
        <f>(BF22+BF23+BF24)/3</f>
        <v>14.439393266853301</v>
      </c>
      <c r="BK4" t="s">
        <v>198</v>
      </c>
      <c r="BL4">
        <f t="shared" si="7"/>
        <v>14.439393266853301</v>
      </c>
      <c r="BN4" t="s">
        <v>198</v>
      </c>
      <c r="BO4">
        <f t="shared" si="8"/>
        <v>9.4684952827263853</v>
      </c>
      <c r="BR4" t="s">
        <v>198</v>
      </c>
      <c r="BS4">
        <f>(V21+V22+V23+BF22+BF23+BF24)/6</f>
        <v>11.953944274789846</v>
      </c>
      <c r="BV4" cm="1">
        <f t="array" ref="BV4:BX4">TRANSPOSE(V21:V23)</f>
        <v>9.8065870307167238</v>
      </c>
      <c r="BW4">
        <v>9.2494785276073621</v>
      </c>
      <c r="BX4">
        <v>9.3494202898550718</v>
      </c>
      <c r="BY4" cm="1">
        <f t="array" ref="BY4:CA4">TRANSPOSE(BF22:BF24)</f>
        <v>14.163206896551724</v>
      </c>
      <c r="BZ4">
        <v>14.629003322259136</v>
      </c>
      <c r="CA4">
        <v>14.525969581749049</v>
      </c>
      <c r="CB4">
        <f t="shared" ref="CB4:CB15" si="13">AVERAGE(BV4:CA4)</f>
        <v>11.953944274789846</v>
      </c>
      <c r="CS4" s="2" t="s">
        <v>116</v>
      </c>
      <c r="CT4" s="3">
        <v>336</v>
      </c>
      <c r="CU4" t="s">
        <v>234</v>
      </c>
      <c r="CV4">
        <f>AVERAGE(CV1:CV3)</f>
        <v>175</v>
      </c>
      <c r="CX4" s="2" t="s">
        <v>116</v>
      </c>
      <c r="CY4">
        <f t="shared" si="9"/>
        <v>161</v>
      </c>
      <c r="DA4" s="2" t="s">
        <v>116</v>
      </c>
      <c r="DB4" s="3">
        <v>7855</v>
      </c>
      <c r="DC4" t="s">
        <v>190</v>
      </c>
      <c r="DD4">
        <f>AVERAGE(DD1:DD3)</f>
        <v>72.333333333333329</v>
      </c>
      <c r="DF4" s="2" t="s">
        <v>116</v>
      </c>
      <c r="DG4">
        <f t="shared" si="10"/>
        <v>7782.67</v>
      </c>
      <c r="DR4" s="2" t="s">
        <v>116</v>
      </c>
      <c r="DS4">
        <f t="shared" si="11"/>
        <v>48.339565217391304</v>
      </c>
      <c r="DW4" t="s">
        <v>206</v>
      </c>
      <c r="DX4">
        <f xml:space="preserve"> (V16+V17+V18+BF17+BF18+BF19+DS16+DS17+DS18)/9</f>
        <v>61.078197718645065</v>
      </c>
      <c r="DZ4" cm="1">
        <f t="array" ref="DZ4:EB4">TRANSPOSE(V16:V18)</f>
        <v>52.309891891891894</v>
      </c>
      <c r="EA4">
        <v>54.793435582822084</v>
      </c>
      <c r="EB4">
        <v>54.774689655172416</v>
      </c>
      <c r="EC4" cm="1">
        <f t="array" ref="EC4:EE4">TRANSPOSE(BF17:BF19)</f>
        <v>57.70664</v>
      </c>
      <c r="ED4">
        <v>61.426639999999999</v>
      </c>
      <c r="EE4">
        <v>57.898827586206899</v>
      </c>
      <c r="EF4" cm="1">
        <f t="array" ref="EF4:EH4">TRANSPOSE(DS16:DS18)</f>
        <v>68.566232876712334</v>
      </c>
      <c r="EG4">
        <v>70.903671875000001</v>
      </c>
      <c r="EH4">
        <v>71.323750000000004</v>
      </c>
      <c r="EI4">
        <f t="shared" si="12"/>
        <v>61.078197718645065</v>
      </c>
    </row>
    <row r="5" spans="1:139" x14ac:dyDescent="0.2">
      <c r="A5" t="s">
        <v>117</v>
      </c>
      <c r="B5">
        <v>314</v>
      </c>
      <c r="G5" t="s">
        <v>117</v>
      </c>
      <c r="H5">
        <f t="shared" si="0"/>
        <v>145</v>
      </c>
      <c r="J5" t="s">
        <v>117</v>
      </c>
      <c r="K5">
        <v>4115</v>
      </c>
      <c r="P5" t="s">
        <v>117</v>
      </c>
      <c r="Q5">
        <f t="shared" si="1"/>
        <v>4045.33</v>
      </c>
      <c r="U5" t="s">
        <v>117</v>
      </c>
      <c r="V5">
        <f t="shared" si="2"/>
        <v>27.898827586206895</v>
      </c>
      <c r="X5" t="s">
        <v>199</v>
      </c>
      <c r="Y5">
        <f>(V12+V13+V14)/3</f>
        <v>34.814235750029461</v>
      </c>
      <c r="AB5" t="s">
        <v>199</v>
      </c>
      <c r="AC5">
        <f t="shared" si="3"/>
        <v>34.814235750029461</v>
      </c>
      <c r="AM5" t="s">
        <v>116</v>
      </c>
      <c r="AN5">
        <v>381</v>
      </c>
      <c r="AR5" t="s">
        <v>116</v>
      </c>
      <c r="AS5">
        <f t="shared" si="4"/>
        <v>212</v>
      </c>
      <c r="AV5" t="s">
        <v>116</v>
      </c>
      <c r="AW5">
        <v>8701</v>
      </c>
      <c r="BB5" t="s">
        <v>116</v>
      </c>
      <c r="BC5">
        <f t="shared" si="5"/>
        <v>8632.33</v>
      </c>
      <c r="BE5" s="1" t="s">
        <v>116</v>
      </c>
      <c r="BF5">
        <f t="shared" si="6"/>
        <v>40.718537735849054</v>
      </c>
      <c r="BH5" t="s">
        <v>199</v>
      </c>
      <c r="BI5">
        <f>(BF13+BF14+BF15)/3</f>
        <v>43.23431337740309</v>
      </c>
      <c r="BK5" t="s">
        <v>199</v>
      </c>
      <c r="BL5">
        <f t="shared" si="7"/>
        <v>43.23431337740309</v>
      </c>
      <c r="BN5" t="s">
        <v>199</v>
      </c>
      <c r="BO5">
        <f t="shared" si="8"/>
        <v>34.814235750029461</v>
      </c>
      <c r="BR5" t="s">
        <v>199</v>
      </c>
      <c r="BS5">
        <f>(BF13+BF14+BF15+V12+V13+V14)/6</f>
        <v>39.024274563716283</v>
      </c>
      <c r="BV5" cm="1">
        <f t="array" ref="BV5:BX5">TRANSPOSE(V12:V14)</f>
        <v>34.109301075268817</v>
      </c>
      <c r="BW5">
        <v>35.176337209302325</v>
      </c>
      <c r="BX5">
        <v>35.15706896551724</v>
      </c>
      <c r="BY5" cm="1">
        <f t="array" ref="BY5:CA5">TRANSPOSE(BF13:BF15)</f>
        <v>44.838932584269664</v>
      </c>
      <c r="BZ5">
        <v>43.914709302325583</v>
      </c>
      <c r="CA5">
        <v>40.949298245614038</v>
      </c>
      <c r="CB5">
        <f t="shared" si="13"/>
        <v>39.024274563716283</v>
      </c>
      <c r="CS5" s="2" t="s">
        <v>117</v>
      </c>
      <c r="CT5" s="3">
        <v>315</v>
      </c>
      <c r="CX5" s="2" t="s">
        <v>117</v>
      </c>
      <c r="CY5">
        <f t="shared" si="9"/>
        <v>140</v>
      </c>
      <c r="DA5" s="2" t="s">
        <v>117</v>
      </c>
      <c r="DB5" s="3">
        <v>6361</v>
      </c>
      <c r="DF5" s="2" t="s">
        <v>117</v>
      </c>
      <c r="DG5">
        <f t="shared" si="10"/>
        <v>6288.67</v>
      </c>
      <c r="DR5" s="2" t="s">
        <v>117</v>
      </c>
      <c r="DS5">
        <f t="shared" si="11"/>
        <v>44.919071428571428</v>
      </c>
      <c r="DW5" t="s">
        <v>207</v>
      </c>
      <c r="DX5">
        <f xml:space="preserve"> (V34+V35+V36+BF35+BF36+BF37+DS34+DS35+DS36)/9</f>
        <v>2.9012546457772066</v>
      </c>
      <c r="DZ5" cm="1">
        <f t="array" ref="DZ5:EB5">TRANSPOSE(V34:V36)</f>
        <v>2.1883050847457626</v>
      </c>
      <c r="EA5">
        <v>2.2759534883720929</v>
      </c>
      <c r="EB5">
        <v>3.1645606694560673</v>
      </c>
      <c r="EC5" cm="1">
        <f t="array" ref="EC5:EE5">TRANSPOSE(BF35:BF37)</f>
        <v>2.4539195979899495</v>
      </c>
      <c r="ED5">
        <v>2.6172751322751324</v>
      </c>
      <c r="EE5">
        <v>2.5878636363636365</v>
      </c>
      <c r="EF5" cm="1">
        <f t="array" ref="EF5:EH5">TRANSPOSE(DS34:DS36)</f>
        <v>3.2206944444444443</v>
      </c>
      <c r="EG5">
        <v>3.6421472392638035</v>
      </c>
      <c r="EH5">
        <v>3.9605725190839696</v>
      </c>
      <c r="EI5">
        <f t="shared" si="12"/>
        <v>2.9012546457772066</v>
      </c>
    </row>
    <row r="6" spans="1:139" x14ac:dyDescent="0.2">
      <c r="A6" t="s">
        <v>121</v>
      </c>
      <c r="B6">
        <v>441</v>
      </c>
      <c r="G6" t="s">
        <v>121</v>
      </c>
      <c r="H6">
        <f t="shared" si="0"/>
        <v>272</v>
      </c>
      <c r="J6" t="s">
        <v>121</v>
      </c>
      <c r="K6">
        <v>15541</v>
      </c>
      <c r="P6" t="s">
        <v>121</v>
      </c>
      <c r="Q6">
        <f t="shared" si="1"/>
        <v>15471.33</v>
      </c>
      <c r="U6" t="s">
        <v>121</v>
      </c>
      <c r="V6">
        <f t="shared" si="2"/>
        <v>56.879889705882356</v>
      </c>
      <c r="X6" t="s">
        <v>200</v>
      </c>
      <c r="Y6">
        <f>(V30+V31+V32)/3</f>
        <v>1.9238931030889415</v>
      </c>
      <c r="AB6" t="s">
        <v>200</v>
      </c>
      <c r="AC6">
        <f t="shared" si="3"/>
        <v>1.9238931030889415</v>
      </c>
      <c r="AM6" t="s">
        <v>117</v>
      </c>
      <c r="AN6">
        <v>366</v>
      </c>
      <c r="AR6" t="s">
        <v>117</v>
      </c>
      <c r="AS6">
        <f t="shared" si="4"/>
        <v>197</v>
      </c>
      <c r="AV6" t="s">
        <v>117</v>
      </c>
      <c r="AW6">
        <v>7714</v>
      </c>
      <c r="BB6" t="s">
        <v>117</v>
      </c>
      <c r="BC6">
        <f t="shared" si="5"/>
        <v>7645.33</v>
      </c>
      <c r="BE6" s="1" t="s">
        <v>117</v>
      </c>
      <c r="BF6">
        <f t="shared" si="6"/>
        <v>38.808781725888323</v>
      </c>
      <c r="BH6" t="s">
        <v>200</v>
      </c>
      <c r="BI6">
        <f>(BF31+BF32+BF33)/3</f>
        <v>3.1893470867629166</v>
      </c>
      <c r="BK6" t="s">
        <v>200</v>
      </c>
      <c r="BL6">
        <f t="shared" si="7"/>
        <v>3.1893470867629166</v>
      </c>
      <c r="BN6" t="s">
        <v>200</v>
      </c>
      <c r="BO6">
        <f t="shared" si="8"/>
        <v>1.9238931030889415</v>
      </c>
      <c r="BR6" t="s">
        <v>200</v>
      </c>
      <c r="BS6">
        <f>(BF31+BF32+BF33+V30+V31+V32)/6</f>
        <v>2.556620094925929</v>
      </c>
      <c r="BV6" cm="1">
        <f t="array" ref="BV6:BX6">TRANSPOSE(V30:V32)</f>
        <v>1.7913636363636365</v>
      </c>
      <c r="BW6">
        <v>1.713438596491228</v>
      </c>
      <c r="BX6">
        <v>2.2668770764119603</v>
      </c>
      <c r="BY6" cm="1">
        <f t="array" ref="BY6:CA6">TRANSPOSE(BF31:BF33)</f>
        <v>3.2826213592233011</v>
      </c>
      <c r="BZ6">
        <v>3.5146527777777776</v>
      </c>
      <c r="CA6">
        <v>2.7707671232876714</v>
      </c>
      <c r="CB6">
        <f t="shared" si="13"/>
        <v>2.556620094925929</v>
      </c>
      <c r="CS6" s="2" t="s">
        <v>121</v>
      </c>
      <c r="CT6" s="3">
        <v>384</v>
      </c>
      <c r="CX6" s="2" t="s">
        <v>121</v>
      </c>
      <c r="CY6">
        <f t="shared" si="9"/>
        <v>209</v>
      </c>
      <c r="DA6" s="2" t="s">
        <v>121</v>
      </c>
      <c r="DB6" s="3">
        <v>14142</v>
      </c>
      <c r="DF6" s="2" t="s">
        <v>121</v>
      </c>
      <c r="DG6">
        <f t="shared" si="10"/>
        <v>14069.67</v>
      </c>
      <c r="DR6" s="2" t="s">
        <v>121</v>
      </c>
      <c r="DS6">
        <f t="shared" si="11"/>
        <v>67.318995215311006</v>
      </c>
      <c r="DW6" t="s">
        <v>196</v>
      </c>
      <c r="DX6">
        <f>(V4+V5+BF4+BF5+BF6+DS3+DS4+DS5)/8</f>
        <v>38.649271741979909</v>
      </c>
      <c r="DZ6" cm="1">
        <f t="array" ref="DZ6:EA6">TRANSPOSE(V4:V5)</f>
        <v>28.407099236641219</v>
      </c>
      <c r="EA6">
        <v>27.898827586206895</v>
      </c>
      <c r="EB6" t="s">
        <v>245</v>
      </c>
      <c r="EC6" cm="1">
        <f t="array" ref="EC6:EE6">TRANSPOSE(BF4:BF6)</f>
        <v>37.978809523809524</v>
      </c>
      <c r="ED6">
        <v>40.718537735849054</v>
      </c>
      <c r="EE6">
        <v>38.808781725888323</v>
      </c>
      <c r="EF6" cm="1">
        <f t="array" ref="EF6:EH6">TRANSPOSE(DS3:DS5)</f>
        <v>42.123481481481484</v>
      </c>
      <c r="EG6">
        <v>48.339565217391304</v>
      </c>
      <c r="EH6">
        <v>44.919071428571428</v>
      </c>
      <c r="EI6">
        <f t="shared" si="12"/>
        <v>38.649271741979909</v>
      </c>
    </row>
    <row r="7" spans="1:139" x14ac:dyDescent="0.2">
      <c r="A7" t="s">
        <v>119</v>
      </c>
      <c r="B7">
        <v>280</v>
      </c>
      <c r="G7" t="s">
        <v>119</v>
      </c>
      <c r="H7">
        <f t="shared" si="0"/>
        <v>111</v>
      </c>
      <c r="J7" t="s">
        <v>119</v>
      </c>
      <c r="K7">
        <v>6442</v>
      </c>
      <c r="P7" t="s">
        <v>119</v>
      </c>
      <c r="Q7">
        <f t="shared" si="1"/>
        <v>6372.33</v>
      </c>
      <c r="U7" t="s">
        <v>119</v>
      </c>
      <c r="V7">
        <f t="shared" si="2"/>
        <v>57.40837837837838</v>
      </c>
      <c r="X7" t="s">
        <v>201</v>
      </c>
      <c r="Y7">
        <f>(V39+V40+V41)/3</f>
        <v>2.2618263875102023</v>
      </c>
      <c r="AB7" t="s">
        <v>201</v>
      </c>
      <c r="AC7">
        <f t="shared" si="3"/>
        <v>2.2618263875102023</v>
      </c>
      <c r="AM7" t="s">
        <v>121</v>
      </c>
      <c r="AN7">
        <v>411</v>
      </c>
      <c r="AR7" t="s">
        <v>121</v>
      </c>
      <c r="AS7">
        <f t="shared" si="4"/>
        <v>242</v>
      </c>
      <c r="AV7" t="s">
        <v>121</v>
      </c>
      <c r="AW7">
        <v>15783</v>
      </c>
      <c r="BB7" t="s">
        <v>121</v>
      </c>
      <c r="BC7">
        <f t="shared" si="5"/>
        <v>15714.33</v>
      </c>
      <c r="BE7" s="1" t="s">
        <v>121</v>
      </c>
      <c r="BF7">
        <f t="shared" si="6"/>
        <v>64.935247933884298</v>
      </c>
      <c r="BH7" t="s">
        <v>201</v>
      </c>
      <c r="BI7">
        <f>(BF40+BF41+BF42)/3</f>
        <v>3.1889139345075428</v>
      </c>
      <c r="BK7" t="s">
        <v>201</v>
      </c>
      <c r="BL7">
        <f t="shared" si="7"/>
        <v>3.1889139345075428</v>
      </c>
      <c r="BN7" t="s">
        <v>201</v>
      </c>
      <c r="BO7">
        <f t="shared" si="8"/>
        <v>2.2618263875102023</v>
      </c>
      <c r="BR7" t="s">
        <v>201</v>
      </c>
      <c r="BS7">
        <f>(BF40+BF41+BF42+V39+V40+V41)/6</f>
        <v>2.7253701610088723</v>
      </c>
      <c r="BV7" cm="1">
        <f t="array" ref="BV7:BX7">TRANSPOSE(V39:V41)</f>
        <v>3.6550694444444449</v>
      </c>
      <c r="BW7">
        <v>2.4257065217391305</v>
      </c>
      <c r="BX7">
        <v>0.70470319634703193</v>
      </c>
      <c r="BY7" cm="1">
        <f t="array" ref="BY7:CA7">TRANSPOSE(BF40:BF42)</f>
        <v>4.0712413793103455</v>
      </c>
      <c r="BZ7">
        <v>4.1829323308270681</v>
      </c>
      <c r="CA7">
        <v>1.312568093385214</v>
      </c>
      <c r="CB7">
        <f t="shared" si="13"/>
        <v>2.7253701610088723</v>
      </c>
      <c r="CS7" s="2" t="s">
        <v>119</v>
      </c>
      <c r="CT7" s="3">
        <v>310</v>
      </c>
      <c r="CX7" s="2" t="s">
        <v>119</v>
      </c>
      <c r="CY7">
        <f t="shared" si="9"/>
        <v>135</v>
      </c>
      <c r="DA7" s="2" t="s">
        <v>119</v>
      </c>
      <c r="DB7" s="3">
        <v>10024</v>
      </c>
      <c r="DF7" s="2" t="s">
        <v>119</v>
      </c>
      <c r="DG7">
        <f t="shared" si="10"/>
        <v>9951.67</v>
      </c>
      <c r="DR7" s="2" t="s">
        <v>119</v>
      </c>
      <c r="DS7">
        <f t="shared" si="11"/>
        <v>73.716074074074072</v>
      </c>
      <c r="DW7" t="s">
        <v>198</v>
      </c>
      <c r="DX7">
        <f xml:space="preserve"> (V21+V22+V23+BF22+BF23+BF24+DS21+DS22+DS23)/9</f>
        <v>12.913711426510622</v>
      </c>
      <c r="DZ7" cm="1">
        <f t="array" ref="DZ7:EB7">TRANSPOSE(V21:V23)</f>
        <v>9.8065870307167238</v>
      </c>
      <c r="EA7">
        <v>9.2494785276073621</v>
      </c>
      <c r="EB7">
        <v>9.3494202898550718</v>
      </c>
      <c r="EC7" cm="1">
        <f t="array" ref="EC7:EE7">TRANSPOSE(BF22:BF24)</f>
        <v>14.163206896551724</v>
      </c>
      <c r="ED7">
        <v>14.629003322259136</v>
      </c>
      <c r="EE7">
        <v>14.525969581749049</v>
      </c>
      <c r="EF7" cm="1">
        <f t="array" ref="EF7:EH7">TRANSPOSE(DS21:DS23)</f>
        <v>14.905485074626865</v>
      </c>
      <c r="EG7">
        <v>15.109080882352941</v>
      </c>
      <c r="EH7">
        <v>14.485171232876713</v>
      </c>
      <c r="EI7">
        <f t="shared" si="12"/>
        <v>12.913711426510622</v>
      </c>
    </row>
    <row r="8" spans="1:139" x14ac:dyDescent="0.2">
      <c r="A8" t="s">
        <v>122</v>
      </c>
      <c r="B8">
        <v>280</v>
      </c>
      <c r="G8" t="s">
        <v>122</v>
      </c>
      <c r="H8">
        <f t="shared" si="0"/>
        <v>111</v>
      </c>
      <c r="J8" t="s">
        <v>122</v>
      </c>
      <c r="K8">
        <v>6771</v>
      </c>
      <c r="P8" t="s">
        <v>122</v>
      </c>
      <c r="Q8">
        <f t="shared" si="1"/>
        <v>6701.33</v>
      </c>
      <c r="U8" t="s">
        <v>122</v>
      </c>
      <c r="V8">
        <f t="shared" si="2"/>
        <v>60.372342342342343</v>
      </c>
      <c r="X8" t="s">
        <v>202</v>
      </c>
      <c r="Y8">
        <f>(V57+V58+V59)/3</f>
        <v>0.92603971122359452</v>
      </c>
      <c r="AB8" t="s">
        <v>202</v>
      </c>
      <c r="AC8">
        <f t="shared" si="3"/>
        <v>0.92603971122359452</v>
      </c>
      <c r="AM8" t="s">
        <v>119</v>
      </c>
      <c r="AN8">
        <v>295</v>
      </c>
      <c r="AR8" t="s">
        <v>119</v>
      </c>
      <c r="AS8">
        <f t="shared" si="4"/>
        <v>126</v>
      </c>
      <c r="AV8" t="s">
        <v>119</v>
      </c>
      <c r="AW8">
        <v>9042</v>
      </c>
      <c r="BB8" t="s">
        <v>119</v>
      </c>
      <c r="BC8">
        <f t="shared" si="5"/>
        <v>8973.33</v>
      </c>
      <c r="BE8" s="1" t="s">
        <v>119</v>
      </c>
      <c r="BF8">
        <f t="shared" si="6"/>
        <v>71.216904761904757</v>
      </c>
      <c r="BH8" t="s">
        <v>202</v>
      </c>
      <c r="BI8">
        <f>(BF58+BF59+BF60)/3</f>
        <v>2.2825932776671825</v>
      </c>
      <c r="BK8" t="s">
        <v>202</v>
      </c>
      <c r="BL8">
        <f t="shared" si="7"/>
        <v>2.2825932776671825</v>
      </c>
      <c r="BN8" t="s">
        <v>202</v>
      </c>
      <c r="BO8">
        <f t="shared" si="8"/>
        <v>0.92603971122359452</v>
      </c>
      <c r="BR8" t="s">
        <v>202</v>
      </c>
      <c r="BS8">
        <f>(V57+V58+V59+BF58+BF59+BF60)/6</f>
        <v>1.6043164944453887</v>
      </c>
      <c r="BV8" cm="1">
        <f t="array" ref="BV8:BX8">TRANSPOSE(V57:V59)</f>
        <v>0.9196686746987951</v>
      </c>
      <c r="BW8">
        <v>1.0168482490272372</v>
      </c>
      <c r="BX8">
        <v>0.84160220994475132</v>
      </c>
      <c r="BY8" cm="1">
        <f t="array" ref="BY8:CA8">TRANSPOSE(BF58:BF60)</f>
        <v>2.3838257575757575</v>
      </c>
      <c r="BZ8">
        <v>2.5430416666666669</v>
      </c>
      <c r="CA8">
        <v>1.9209124087591243</v>
      </c>
      <c r="CB8">
        <f t="shared" si="13"/>
        <v>1.6043164944453887</v>
      </c>
      <c r="CS8" s="2" t="s">
        <v>122</v>
      </c>
      <c r="CT8" s="3">
        <v>306</v>
      </c>
      <c r="CX8" s="2" t="s">
        <v>122</v>
      </c>
      <c r="CY8">
        <f t="shared" si="9"/>
        <v>131</v>
      </c>
      <c r="DA8" s="2" t="s">
        <v>122</v>
      </c>
      <c r="DB8" s="3">
        <v>10152</v>
      </c>
      <c r="DF8" s="2" t="s">
        <v>122</v>
      </c>
      <c r="DG8">
        <f t="shared" si="10"/>
        <v>10079.67</v>
      </c>
      <c r="DR8" s="2" t="s">
        <v>122</v>
      </c>
      <c r="DS8">
        <f t="shared" si="11"/>
        <v>76.944045801526713</v>
      </c>
      <c r="DW8" t="s">
        <v>199</v>
      </c>
      <c r="DX8">
        <f xml:space="preserve"> (BF13+BF14+BF15+V12+V13+V14+DS12+DS13+DS14)/9</f>
        <v>42.412917285168227</v>
      </c>
      <c r="DZ8" cm="1">
        <f t="array" ref="DZ8:EB8">TRANSPOSE(V12:V14)</f>
        <v>34.109301075268817</v>
      </c>
      <c r="EA8">
        <v>35.176337209302325</v>
      </c>
      <c r="EB8">
        <v>35.15706896551724</v>
      </c>
      <c r="EC8" cm="1">
        <f t="array" ref="EC8:EE8">TRANSPOSE(BF13:BF15)</f>
        <v>44.838932584269664</v>
      </c>
      <c r="ED8">
        <v>43.914709302325583</v>
      </c>
      <c r="EE8">
        <v>40.949298245614038</v>
      </c>
      <c r="EF8" cm="1">
        <f t="array" ref="EF8:EH8">TRANSPOSE(DS12:DS14)</f>
        <v>48.770479041916168</v>
      </c>
      <c r="EG8">
        <v>49.728092105263158</v>
      </c>
      <c r="EH8">
        <v>49.072037037037035</v>
      </c>
      <c r="EI8">
        <f t="shared" si="12"/>
        <v>42.412917285168227</v>
      </c>
    </row>
    <row r="9" spans="1:139" x14ac:dyDescent="0.2">
      <c r="A9" t="s">
        <v>123</v>
      </c>
      <c r="B9">
        <v>319</v>
      </c>
      <c r="G9" t="s">
        <v>123</v>
      </c>
      <c r="H9">
        <f t="shared" si="0"/>
        <v>150</v>
      </c>
      <c r="J9" t="s">
        <v>123</v>
      </c>
      <c r="K9">
        <v>8484</v>
      </c>
      <c r="P9" t="s">
        <v>123</v>
      </c>
      <c r="Q9">
        <f t="shared" si="1"/>
        <v>8414.33</v>
      </c>
      <c r="U9" t="s">
        <v>123</v>
      </c>
      <c r="V9">
        <f t="shared" si="2"/>
        <v>56.095533333333336</v>
      </c>
      <c r="X9" t="s">
        <v>203</v>
      </c>
      <c r="Y9">
        <f>(V48+V49+V50)/3</f>
        <v>3.0260204532244956</v>
      </c>
      <c r="AB9" t="s">
        <v>203</v>
      </c>
      <c r="AC9">
        <f t="shared" si="3"/>
        <v>3.0260204532244956</v>
      </c>
      <c r="AM9" t="s">
        <v>122</v>
      </c>
      <c r="AN9">
        <v>314</v>
      </c>
      <c r="AR9" t="s">
        <v>122</v>
      </c>
      <c r="AS9">
        <f t="shared" si="4"/>
        <v>145</v>
      </c>
      <c r="AV9" t="s">
        <v>122</v>
      </c>
      <c r="AW9">
        <v>10007</v>
      </c>
      <c r="BB9" t="s">
        <v>122</v>
      </c>
      <c r="BC9">
        <f t="shared" si="5"/>
        <v>9938.33</v>
      </c>
      <c r="BE9" s="1" t="s">
        <v>122</v>
      </c>
      <c r="BF9">
        <f t="shared" si="6"/>
        <v>68.540206896551723</v>
      </c>
      <c r="BH9" t="s">
        <v>203</v>
      </c>
      <c r="BI9">
        <f>(BF49+BF50+BF51)/3</f>
        <v>4.8384860255985602</v>
      </c>
      <c r="BK9" t="s">
        <v>203</v>
      </c>
      <c r="BL9">
        <f t="shared" si="7"/>
        <v>4.8384860255985602</v>
      </c>
      <c r="BN9" t="s">
        <v>203</v>
      </c>
      <c r="BO9">
        <f t="shared" si="8"/>
        <v>3.0260204532244956</v>
      </c>
      <c r="BR9" t="s">
        <v>203</v>
      </c>
      <c r="BS9">
        <f>(V48+V49+V50+BF49+BF50+BF51)/6</f>
        <v>3.9322532394115286</v>
      </c>
      <c r="BV9" cm="1">
        <f t="array" ref="BV9:BX9">TRANSPOSE(V48:V50)</f>
        <v>2.7444910179640716</v>
      </c>
      <c r="BW9">
        <v>3.3886175115207373</v>
      </c>
      <c r="BX9">
        <v>2.9449528301886794</v>
      </c>
      <c r="BY9" cm="1">
        <f t="array" ref="BY9:CA9">TRANSPOSE(BF49:BF51)</f>
        <v>5.2750273224043722</v>
      </c>
      <c r="BZ9">
        <v>4.9071144278606971</v>
      </c>
      <c r="CA9">
        <v>4.3333163265306123</v>
      </c>
      <c r="CB9">
        <f t="shared" si="13"/>
        <v>3.9322532394115286</v>
      </c>
      <c r="CS9" s="2" t="s">
        <v>123</v>
      </c>
      <c r="CT9" s="3">
        <v>271</v>
      </c>
      <c r="CX9" s="2" t="s">
        <v>123</v>
      </c>
      <c r="CY9">
        <f t="shared" si="9"/>
        <v>96</v>
      </c>
      <c r="DA9" s="2" t="s">
        <v>123</v>
      </c>
      <c r="DB9" s="3">
        <v>7680</v>
      </c>
      <c r="DF9" s="2" t="s">
        <v>123</v>
      </c>
      <c r="DG9">
        <f t="shared" si="10"/>
        <v>7607.67</v>
      </c>
      <c r="DR9" s="2" t="s">
        <v>123</v>
      </c>
      <c r="DS9">
        <f t="shared" si="11"/>
        <v>79.246562499999996</v>
      </c>
      <c r="DW9" t="s">
        <v>200</v>
      </c>
      <c r="DX9">
        <f xml:space="preserve"> (BF31+BF32+BF33+V30+V31+V32+DS30+DS31+DS32)/9</f>
        <v>2.9474780344442477</v>
      </c>
      <c r="DZ9" cm="1">
        <f t="array" ref="DZ9:EB9">TRANSPOSE(V30:V32)</f>
        <v>1.7913636363636365</v>
      </c>
      <c r="EA9">
        <v>1.713438596491228</v>
      </c>
      <c r="EB9">
        <v>2.2668770764119603</v>
      </c>
      <c r="EC9" cm="1">
        <f t="array" ref="EC9:EE9">TRANSPOSE(BF31:BF33)</f>
        <v>3.2826213592233011</v>
      </c>
      <c r="ED9">
        <v>3.5146527777777776</v>
      </c>
      <c r="EE9">
        <v>2.7707671232876714</v>
      </c>
      <c r="EF9" cm="1">
        <f t="array" ref="EF9:EH9">TRANSPOSE(DS30:DS32)</f>
        <v>3.3439285714285711</v>
      </c>
      <c r="EG9">
        <v>4.7230281690140838</v>
      </c>
      <c r="EH9">
        <v>3.120625</v>
      </c>
      <c r="EI9">
        <f t="shared" si="12"/>
        <v>2.9474780344442477</v>
      </c>
    </row>
    <row r="10" spans="1:139" x14ac:dyDescent="0.2">
      <c r="A10" t="s">
        <v>125</v>
      </c>
      <c r="B10">
        <v>453</v>
      </c>
      <c r="G10" t="s">
        <v>125</v>
      </c>
      <c r="H10">
        <f t="shared" si="0"/>
        <v>284</v>
      </c>
      <c r="J10" t="s">
        <v>125</v>
      </c>
      <c r="K10">
        <v>18068</v>
      </c>
      <c r="P10" t="s">
        <v>125</v>
      </c>
      <c r="Q10">
        <f t="shared" si="1"/>
        <v>17998.330000000002</v>
      </c>
      <c r="U10" t="s">
        <v>125</v>
      </c>
      <c r="V10">
        <f t="shared" si="2"/>
        <v>63.374401408450709</v>
      </c>
      <c r="X10" t="s">
        <v>204</v>
      </c>
      <c r="Y10">
        <f>(V66+V67+V68)/3</f>
        <v>0.70539312232169371</v>
      </c>
      <c r="AB10" t="s">
        <v>204</v>
      </c>
      <c r="AC10">
        <f t="shared" si="3"/>
        <v>0.70539312232169371</v>
      </c>
      <c r="AM10" t="s">
        <v>123</v>
      </c>
      <c r="AN10">
        <v>309</v>
      </c>
      <c r="AR10" t="s">
        <v>123</v>
      </c>
      <c r="AS10">
        <f t="shared" si="4"/>
        <v>140</v>
      </c>
      <c r="AV10" t="s">
        <v>123</v>
      </c>
      <c r="AW10">
        <v>9876</v>
      </c>
      <c r="BB10" t="s">
        <v>123</v>
      </c>
      <c r="BC10">
        <f t="shared" si="5"/>
        <v>9807.33</v>
      </c>
      <c r="BE10" s="1" t="s">
        <v>123</v>
      </c>
      <c r="BF10">
        <f t="shared" si="6"/>
        <v>70.052357142857147</v>
      </c>
      <c r="BH10" t="s">
        <v>204</v>
      </c>
      <c r="BI10">
        <f>(BF2+BF67+BF68)/3</f>
        <v>1.1796603707526809</v>
      </c>
      <c r="BK10" t="s">
        <v>204</v>
      </c>
      <c r="BL10">
        <f t="shared" si="7"/>
        <v>1.1796603707526809</v>
      </c>
      <c r="BN10" t="s">
        <v>204</v>
      </c>
      <c r="BO10">
        <f t="shared" si="8"/>
        <v>0.70539312232169371</v>
      </c>
      <c r="BR10" t="s">
        <v>204</v>
      </c>
      <c r="BS10">
        <f>(V66+V67+V68+BF2+BF67+BF68)/6</f>
        <v>0.94252674653718749</v>
      </c>
      <c r="BV10" cm="1">
        <f t="array" ref="BV10:BX10">TRANSPOSE(V66:V68)</f>
        <v>0.7677582417582417</v>
      </c>
      <c r="BW10">
        <v>0.49066602316602315</v>
      </c>
      <c r="BX10">
        <v>0.85775510204081629</v>
      </c>
      <c r="BY10">
        <f>BF2</f>
        <v>1.2654378818737271</v>
      </c>
      <c r="BZ10" cm="1">
        <f t="array" ref="BZ10:CA10">TRANSPOSE(BF67:BF68)</f>
        <v>0.83058641975308645</v>
      </c>
      <c r="CA10">
        <v>1.4429568106312292</v>
      </c>
      <c r="CB10">
        <f t="shared" si="13"/>
        <v>0.94252674653718749</v>
      </c>
      <c r="CS10" s="2" t="s">
        <v>125</v>
      </c>
      <c r="CT10" s="3">
        <v>444</v>
      </c>
      <c r="CX10" s="2" t="s">
        <v>125</v>
      </c>
      <c r="CY10">
        <f t="shared" si="9"/>
        <v>269</v>
      </c>
      <c r="DA10" s="2" t="s">
        <v>125</v>
      </c>
      <c r="DB10" s="3">
        <v>18203</v>
      </c>
      <c r="DF10" s="2" t="s">
        <v>125</v>
      </c>
      <c r="DG10">
        <f t="shared" si="10"/>
        <v>18130.669999999998</v>
      </c>
      <c r="DR10" s="2" t="s">
        <v>125</v>
      </c>
      <c r="DS10">
        <f t="shared" si="11"/>
        <v>67.400260223048321</v>
      </c>
      <c r="DW10" t="s">
        <v>201</v>
      </c>
      <c r="DX10">
        <f xml:space="preserve"> (BF40+BF41+BF42+V39+V40+V41+DS39+DS40+DS41)/9</f>
        <v>3.1763799261271624</v>
      </c>
      <c r="DZ10" cm="1">
        <f t="array" ref="DZ10:EB10">TRANSPOSE(V39:V41)</f>
        <v>3.6550694444444449</v>
      </c>
      <c r="EA10">
        <v>2.4257065217391305</v>
      </c>
      <c r="EB10">
        <v>0.70470319634703193</v>
      </c>
      <c r="EC10" cm="1">
        <f t="array" ref="EC10:EE10">TRANSPOSE(BF40:BF42)</f>
        <v>4.0712413793103455</v>
      </c>
      <c r="ED10">
        <v>4.1829323308270681</v>
      </c>
      <c r="EE10">
        <v>1.312568093385214</v>
      </c>
      <c r="EF10" cm="1">
        <f t="array" ref="EF10:EH10">TRANSPOSE(DS39:DS41)</f>
        <v>5.7805833333333334</v>
      </c>
      <c r="EG10">
        <v>4.8518803418803413</v>
      </c>
      <c r="EH10">
        <v>1.6027346938775511</v>
      </c>
      <c r="EI10">
        <f t="shared" si="12"/>
        <v>3.1763799261271624</v>
      </c>
    </row>
    <row r="11" spans="1:139" x14ac:dyDescent="0.2">
      <c r="A11" t="s">
        <v>124</v>
      </c>
      <c r="B11">
        <v>1360</v>
      </c>
      <c r="G11" t="s">
        <v>124</v>
      </c>
      <c r="H11">
        <f t="shared" si="0"/>
        <v>1191</v>
      </c>
      <c r="J11" t="s">
        <v>124</v>
      </c>
      <c r="K11">
        <v>2432</v>
      </c>
      <c r="P11" t="s">
        <v>124</v>
      </c>
      <c r="Q11">
        <f t="shared" si="1"/>
        <v>2362.33</v>
      </c>
      <c r="U11" t="s">
        <v>124</v>
      </c>
      <c r="V11">
        <f t="shared" si="2"/>
        <v>1.9834844668345928</v>
      </c>
      <c r="X11" t="s">
        <v>118</v>
      </c>
      <c r="Y11">
        <f>(V7+V8+V9)/3</f>
        <v>57.95875135135136</v>
      </c>
      <c r="AB11" t="s">
        <v>118</v>
      </c>
      <c r="AC11">
        <f t="shared" si="3"/>
        <v>57.95875135135136</v>
      </c>
      <c r="AM11" t="s">
        <v>125</v>
      </c>
      <c r="AN11">
        <v>459</v>
      </c>
      <c r="AR11" t="s">
        <v>125</v>
      </c>
      <c r="AS11">
        <f t="shared" si="4"/>
        <v>290</v>
      </c>
      <c r="AV11" t="s">
        <v>125</v>
      </c>
      <c r="AW11">
        <v>21129</v>
      </c>
      <c r="BB11" t="s">
        <v>125</v>
      </c>
      <c r="BC11">
        <f t="shared" si="5"/>
        <v>21060.33</v>
      </c>
      <c r="BE11" s="1" t="s">
        <v>125</v>
      </c>
      <c r="BF11">
        <f t="shared" si="6"/>
        <v>72.621827586206905</v>
      </c>
      <c r="BH11" t="s">
        <v>118</v>
      </c>
      <c r="BI11">
        <f>(BF8+BF9+BF10)/3</f>
        <v>69.936489600437881</v>
      </c>
      <c r="BK11" t="s">
        <v>118</v>
      </c>
      <c r="BL11">
        <f t="shared" si="7"/>
        <v>69.936489600437881</v>
      </c>
      <c r="BN11" t="s">
        <v>118</v>
      </c>
      <c r="BO11">
        <f t="shared" si="8"/>
        <v>57.95875135135136</v>
      </c>
      <c r="BR11" t="s">
        <v>118</v>
      </c>
      <c r="BS11">
        <f>(V7+V8+V9+BF8+BF9+BF10)/6</f>
        <v>63.947620475894617</v>
      </c>
      <c r="BV11" cm="1">
        <f t="array" ref="BV11:BX11">TRANSPOSE(V7:V9)</f>
        <v>57.40837837837838</v>
      </c>
      <c r="BW11">
        <v>60.372342342342343</v>
      </c>
      <c r="BX11">
        <v>56.095533333333336</v>
      </c>
      <c r="BY11" cm="1">
        <f t="array" ref="BY11:CA11">TRANSPOSE(BF8:BF10)</f>
        <v>71.216904761904757</v>
      </c>
      <c r="BZ11">
        <v>68.540206896551723</v>
      </c>
      <c r="CA11">
        <v>70.052357142857147</v>
      </c>
      <c r="CB11">
        <f t="shared" si="13"/>
        <v>63.947620475894617</v>
      </c>
      <c r="CS11" s="2" t="s">
        <v>124</v>
      </c>
      <c r="CT11" s="3">
        <v>354</v>
      </c>
      <c r="CX11" s="2" t="s">
        <v>124</v>
      </c>
      <c r="CY11">
        <f t="shared" si="9"/>
        <v>179</v>
      </c>
      <c r="DA11" s="2" t="s">
        <v>124</v>
      </c>
      <c r="DB11" s="3">
        <v>6608</v>
      </c>
      <c r="DF11" s="2" t="s">
        <v>124</v>
      </c>
      <c r="DG11">
        <f t="shared" si="10"/>
        <v>6535.67</v>
      </c>
      <c r="DR11" s="2" t="s">
        <v>124</v>
      </c>
      <c r="DS11">
        <f t="shared" si="11"/>
        <v>36.512122905027937</v>
      </c>
      <c r="DW11" t="s">
        <v>202</v>
      </c>
      <c r="DX11">
        <f>(V57+V58+V59+BF58+BF59+BF60+DS57+DS58+DS59)/9</f>
        <v>1.8724716419870653</v>
      </c>
      <c r="DZ11" cm="1">
        <f t="array" ref="DZ11:EB11">TRANSPOSE(V57:V59)</f>
        <v>0.9196686746987951</v>
      </c>
      <c r="EA11">
        <v>1.0168482490272372</v>
      </c>
      <c r="EB11">
        <v>0.84160220994475132</v>
      </c>
      <c r="EC11" cm="1">
        <f t="array" ref="EC11:EE11">TRANSPOSE(BF58:BF60)</f>
        <v>2.3838257575757575</v>
      </c>
      <c r="ED11">
        <v>2.5430416666666669</v>
      </c>
      <c r="EE11">
        <v>1.9209124087591243</v>
      </c>
      <c r="EF11" cm="1">
        <f t="array" ref="EF11:EH11">TRANSPOSE(DS57:DS59)</f>
        <v>2.6824901185770749</v>
      </c>
      <c r="EG11">
        <v>2.4637269372693726</v>
      </c>
      <c r="EH11">
        <v>2.0801287553648069</v>
      </c>
      <c r="EI11">
        <f t="shared" si="12"/>
        <v>1.8724716419870653</v>
      </c>
    </row>
    <row r="12" spans="1:139" x14ac:dyDescent="0.2">
      <c r="A12" t="s">
        <v>126</v>
      </c>
      <c r="B12">
        <v>355</v>
      </c>
      <c r="G12" t="s">
        <v>126</v>
      </c>
      <c r="H12">
        <f t="shared" si="0"/>
        <v>186</v>
      </c>
      <c r="J12" t="s">
        <v>126</v>
      </c>
      <c r="K12">
        <v>6414</v>
      </c>
      <c r="P12" t="s">
        <v>126</v>
      </c>
      <c r="Q12">
        <f t="shared" si="1"/>
        <v>6344.33</v>
      </c>
      <c r="U12" t="s">
        <v>126</v>
      </c>
      <c r="V12">
        <f t="shared" si="2"/>
        <v>34.109301075268817</v>
      </c>
      <c r="X12" t="s">
        <v>205</v>
      </c>
      <c r="Y12">
        <f>(V25+V26+V27)/3</f>
        <v>57.84985877497968</v>
      </c>
      <c r="AB12" t="s">
        <v>205</v>
      </c>
      <c r="AC12">
        <f t="shared" si="3"/>
        <v>57.84985877497968</v>
      </c>
      <c r="AM12" t="s">
        <v>124</v>
      </c>
      <c r="AN12">
        <v>246</v>
      </c>
      <c r="AR12" t="s">
        <v>124</v>
      </c>
      <c r="AS12">
        <f t="shared" si="4"/>
        <v>77</v>
      </c>
      <c r="AV12" t="s">
        <v>124</v>
      </c>
      <c r="AW12">
        <v>9374</v>
      </c>
      <c r="BB12" t="s">
        <v>124</v>
      </c>
      <c r="BC12">
        <f t="shared" si="5"/>
        <v>9305.33</v>
      </c>
      <c r="BE12" s="1" t="s">
        <v>124</v>
      </c>
      <c r="BF12">
        <f t="shared" si="6"/>
        <v>120.84844155844156</v>
      </c>
      <c r="BH12" t="s">
        <v>205</v>
      </c>
      <c r="BI12">
        <f>(BF26+BF27+BF28)/3</f>
        <v>65.855413764883579</v>
      </c>
      <c r="BK12" t="s">
        <v>205</v>
      </c>
      <c r="BL12">
        <f t="shared" si="7"/>
        <v>65.855413764883579</v>
      </c>
      <c r="BN12" t="s">
        <v>205</v>
      </c>
      <c r="BO12">
        <f t="shared" si="8"/>
        <v>57.84985877497968</v>
      </c>
      <c r="BR12" t="s">
        <v>205</v>
      </c>
      <c r="BS12">
        <f>(V25+V26+V27+BF26+BF27+BF28)/6</f>
        <v>61.852636269931629</v>
      </c>
      <c r="BV12" cm="1">
        <f t="array" ref="BV12:BX12">TRANSPOSE(V25:V27)</f>
        <v>55.064396135265703</v>
      </c>
      <c r="BW12">
        <v>59.960410958904106</v>
      </c>
      <c r="BX12">
        <v>58.52476923076923</v>
      </c>
      <c r="BY12" cm="1">
        <f t="array" ref="BY12:CA12">TRANSPOSE(BF26:BF28)</f>
        <v>68.607421602787468</v>
      </c>
      <c r="BZ12">
        <v>58.680335820895522</v>
      </c>
      <c r="CA12">
        <v>70.278483870967747</v>
      </c>
      <c r="CB12">
        <f t="shared" si="13"/>
        <v>61.852636269931629</v>
      </c>
      <c r="CS12" s="2" t="s">
        <v>126</v>
      </c>
      <c r="CT12" s="3">
        <v>342</v>
      </c>
      <c r="CX12" s="2" t="s">
        <v>126</v>
      </c>
      <c r="CY12">
        <f t="shared" si="9"/>
        <v>167</v>
      </c>
      <c r="DA12" s="2" t="s">
        <v>126</v>
      </c>
      <c r="DB12" s="3">
        <v>8217</v>
      </c>
      <c r="DF12" s="2" t="s">
        <v>126</v>
      </c>
      <c r="DG12">
        <f t="shared" si="10"/>
        <v>8144.67</v>
      </c>
      <c r="DR12" s="2" t="s">
        <v>126</v>
      </c>
      <c r="DS12">
        <f t="shared" si="11"/>
        <v>48.770479041916168</v>
      </c>
      <c r="DW12" t="s">
        <v>203</v>
      </c>
      <c r="DX12">
        <f>(V48+V49+V50+BF49+BF50+BF51+DS48+DS49)/8</f>
        <v>4.3559962080754513</v>
      </c>
      <c r="DY12" t="s">
        <v>241</v>
      </c>
      <c r="DZ12" cm="1">
        <f t="array" ref="DZ12:EB12">TRANSPOSE(V48:V50)</f>
        <v>2.7444910179640716</v>
      </c>
      <c r="EA12">
        <v>3.3886175115207373</v>
      </c>
      <c r="EB12">
        <v>2.9449528301886794</v>
      </c>
      <c r="EC12" cm="1">
        <f t="array" ref="EC12:EE12">TRANSPOSE(BF49:BF51)</f>
        <v>5.2750273224043722</v>
      </c>
      <c r="ED12">
        <v>4.9071144278606971</v>
      </c>
      <c r="EE12">
        <v>4.3333163265306123</v>
      </c>
      <c r="EF12" cm="1">
        <f t="array" ref="EF12:EG12">TRANSPOSE(DS48:DS49)</f>
        <v>6.0313675213675211</v>
      </c>
      <c r="EG12">
        <v>5.2230827067669168</v>
      </c>
      <c r="EH12" t="s">
        <v>245</v>
      </c>
      <c r="EI12">
        <f t="shared" si="12"/>
        <v>4.3559962080754513</v>
      </c>
    </row>
    <row r="13" spans="1:139" x14ac:dyDescent="0.2">
      <c r="A13" t="s">
        <v>127</v>
      </c>
      <c r="B13">
        <v>341</v>
      </c>
      <c r="G13" t="s">
        <v>127</v>
      </c>
      <c r="H13">
        <f t="shared" si="0"/>
        <v>172</v>
      </c>
      <c r="J13" t="s">
        <v>127</v>
      </c>
      <c r="K13">
        <v>6120</v>
      </c>
      <c r="P13" t="s">
        <v>127</v>
      </c>
      <c r="Q13">
        <f t="shared" si="1"/>
        <v>6050.33</v>
      </c>
      <c r="U13" t="s">
        <v>127</v>
      </c>
      <c r="V13">
        <f t="shared" si="2"/>
        <v>35.176337209302325</v>
      </c>
      <c r="X13" t="s">
        <v>206</v>
      </c>
      <c r="Y13">
        <f>(V16+V17+V18)/3</f>
        <v>53.959339043295465</v>
      </c>
      <c r="AB13" t="s">
        <v>206</v>
      </c>
      <c r="AC13">
        <f t="shared" si="3"/>
        <v>53.959339043295465</v>
      </c>
      <c r="AM13" t="s">
        <v>126</v>
      </c>
      <c r="AN13">
        <v>347</v>
      </c>
      <c r="AR13" t="s">
        <v>126</v>
      </c>
      <c r="AS13">
        <f t="shared" si="4"/>
        <v>178</v>
      </c>
      <c r="AV13" t="s">
        <v>126</v>
      </c>
      <c r="AW13">
        <v>8050</v>
      </c>
      <c r="BB13" t="s">
        <v>126</v>
      </c>
      <c r="BC13">
        <f t="shared" si="5"/>
        <v>7981.33</v>
      </c>
      <c r="BE13" s="1" t="s">
        <v>126</v>
      </c>
      <c r="BF13">
        <f t="shared" si="6"/>
        <v>44.838932584269664</v>
      </c>
      <c r="BH13" t="s">
        <v>206</v>
      </c>
      <c r="BI13">
        <f>(BF17+BF18+BF19)/3</f>
        <v>59.010702528735635</v>
      </c>
      <c r="BK13" t="s">
        <v>206</v>
      </c>
      <c r="BL13">
        <f t="shared" si="7"/>
        <v>59.010702528735635</v>
      </c>
      <c r="BN13" t="s">
        <v>206</v>
      </c>
      <c r="BO13">
        <f t="shared" si="8"/>
        <v>53.959339043295465</v>
      </c>
      <c r="BR13" t="s">
        <v>206</v>
      </c>
      <c r="BS13">
        <f>(V16+V17+V18+BF17+BF18+BF19)/6</f>
        <v>56.485020786015546</v>
      </c>
      <c r="BV13" cm="1">
        <f t="array" ref="BV13:BX13">TRANSPOSE(V16:V18)</f>
        <v>52.309891891891894</v>
      </c>
      <c r="BW13">
        <v>54.793435582822084</v>
      </c>
      <c r="BX13">
        <v>54.774689655172416</v>
      </c>
      <c r="BY13" cm="1">
        <f t="array" ref="BY13:CA13">TRANSPOSE(BF17:BF19)</f>
        <v>57.70664</v>
      </c>
      <c r="BZ13">
        <v>61.426639999999999</v>
      </c>
      <c r="CA13">
        <v>57.898827586206899</v>
      </c>
      <c r="CB13">
        <f t="shared" si="13"/>
        <v>56.485020786015546</v>
      </c>
      <c r="CS13" s="2" t="s">
        <v>127</v>
      </c>
      <c r="CT13" s="3">
        <v>327</v>
      </c>
      <c r="CX13" s="2" t="s">
        <v>127</v>
      </c>
      <c r="CY13">
        <f t="shared" si="9"/>
        <v>152</v>
      </c>
      <c r="DA13" s="2" t="s">
        <v>127</v>
      </c>
      <c r="DB13" s="3">
        <v>7631</v>
      </c>
      <c r="DF13" s="2" t="s">
        <v>127</v>
      </c>
      <c r="DG13">
        <f t="shared" si="10"/>
        <v>7558.67</v>
      </c>
      <c r="DR13" s="2" t="s">
        <v>127</v>
      </c>
      <c r="DS13">
        <f t="shared" si="11"/>
        <v>49.728092105263158</v>
      </c>
      <c r="DW13" t="s">
        <v>204</v>
      </c>
      <c r="DX13">
        <f xml:space="preserve"> (V66+V67+V68+BF2+BF67+BF68+DS66+DS67+DS68)/9</f>
        <v>1.1049200345433376</v>
      </c>
      <c r="DZ13" cm="1">
        <f t="array" ref="DZ13:EB13">TRANSPOSE(V66:V68)</f>
        <v>0.7677582417582417</v>
      </c>
      <c r="EA13">
        <v>0.49066602316602315</v>
      </c>
      <c r="EB13">
        <v>0.85775510204081629</v>
      </c>
      <c r="EC13" cm="1">
        <f t="array" ref="EC13">TRANSPOSE(BF2:BF2)</f>
        <v>1.2654378818737271</v>
      </c>
      <c r="ED13" cm="1">
        <f t="array" ref="ED13:EE13">TRANSPOSE(BF67:BF68)</f>
        <v>0.83058641975308645</v>
      </c>
      <c r="EE13">
        <v>1.4429568106312292</v>
      </c>
      <c r="EF13" cm="1">
        <f t="array" ref="EF13:EH13">TRANSPOSE(DS66:DS68)</f>
        <v>1.5300655737704918</v>
      </c>
      <c r="EG13">
        <v>1.2564970059880241</v>
      </c>
      <c r="EH13">
        <v>1.502557251908397</v>
      </c>
      <c r="EI13">
        <f t="shared" si="12"/>
        <v>1.1049200345433376</v>
      </c>
    </row>
    <row r="14" spans="1:139" x14ac:dyDescent="0.2">
      <c r="A14" t="s">
        <v>128</v>
      </c>
      <c r="B14">
        <v>343</v>
      </c>
      <c r="G14" t="s">
        <v>128</v>
      </c>
      <c r="H14">
        <f t="shared" si="0"/>
        <v>174</v>
      </c>
      <c r="J14" t="s">
        <v>128</v>
      </c>
      <c r="K14">
        <v>6187</v>
      </c>
      <c r="P14" t="s">
        <v>128</v>
      </c>
      <c r="Q14">
        <f t="shared" si="1"/>
        <v>6117.33</v>
      </c>
      <c r="U14" t="s">
        <v>128</v>
      </c>
      <c r="V14">
        <f t="shared" si="2"/>
        <v>35.15706896551724</v>
      </c>
      <c r="X14" t="s">
        <v>207</v>
      </c>
      <c r="Y14">
        <f>(V34+V35+V36)/3</f>
        <v>2.5429397475246409</v>
      </c>
      <c r="AB14" t="s">
        <v>207</v>
      </c>
      <c r="AC14">
        <f t="shared" si="3"/>
        <v>2.5429397475246409</v>
      </c>
      <c r="AK14" t="s">
        <v>216</v>
      </c>
      <c r="AM14" t="s">
        <v>127</v>
      </c>
      <c r="AN14">
        <v>341</v>
      </c>
      <c r="AR14" t="s">
        <v>127</v>
      </c>
      <c r="AS14">
        <f t="shared" si="4"/>
        <v>172</v>
      </c>
      <c r="AV14" t="s">
        <v>127</v>
      </c>
      <c r="AW14">
        <v>7622</v>
      </c>
      <c r="BB14" t="s">
        <v>127</v>
      </c>
      <c r="BC14">
        <f t="shared" si="5"/>
        <v>7553.33</v>
      </c>
      <c r="BE14" s="1" t="s">
        <v>127</v>
      </c>
      <c r="BF14">
        <f t="shared" si="6"/>
        <v>43.914709302325583</v>
      </c>
      <c r="BH14" t="s">
        <v>207</v>
      </c>
      <c r="BI14">
        <f>(BF35+BF36+BF37)/3</f>
        <v>2.553019455542906</v>
      </c>
      <c r="BK14" t="s">
        <v>207</v>
      </c>
      <c r="BL14">
        <f t="shared" si="7"/>
        <v>2.553019455542906</v>
      </c>
      <c r="BN14" t="s">
        <v>207</v>
      </c>
      <c r="BO14">
        <f t="shared" si="8"/>
        <v>2.5429397475246409</v>
      </c>
      <c r="BR14" t="s">
        <v>207</v>
      </c>
      <c r="BS14">
        <f>(V34+V35+V36+BF35+BF36+BF37)/6</f>
        <v>2.5479796015337732</v>
      </c>
      <c r="BV14" cm="1">
        <f t="array" ref="BV14:BX14">TRANSPOSE(V34:V36)</f>
        <v>2.1883050847457626</v>
      </c>
      <c r="BW14">
        <v>2.2759534883720929</v>
      </c>
      <c r="BX14">
        <v>3.1645606694560673</v>
      </c>
      <c r="BY14" cm="1">
        <f t="array" ref="BY14:CA14">TRANSPOSE(BF35:BF37)</f>
        <v>2.4539195979899495</v>
      </c>
      <c r="BZ14">
        <v>2.6172751322751324</v>
      </c>
      <c r="CA14">
        <v>2.5878636363636365</v>
      </c>
      <c r="CB14">
        <f t="shared" si="13"/>
        <v>2.5479796015337732</v>
      </c>
      <c r="CS14" s="2" t="s">
        <v>128</v>
      </c>
      <c r="CT14" s="3">
        <v>337</v>
      </c>
      <c r="CX14" s="2" t="s">
        <v>128</v>
      </c>
      <c r="CY14">
        <f t="shared" si="9"/>
        <v>162</v>
      </c>
      <c r="DA14" s="2" t="s">
        <v>128</v>
      </c>
      <c r="DB14" s="3">
        <v>8022</v>
      </c>
      <c r="DF14" s="2" t="s">
        <v>128</v>
      </c>
      <c r="DG14">
        <f t="shared" si="10"/>
        <v>7949.67</v>
      </c>
      <c r="DR14" s="2" t="s">
        <v>128</v>
      </c>
      <c r="DS14">
        <f t="shared" si="11"/>
        <v>49.072037037037035</v>
      </c>
    </row>
    <row r="15" spans="1:139" x14ac:dyDescent="0.2">
      <c r="A15" t="s">
        <v>129</v>
      </c>
      <c r="B15">
        <v>155</v>
      </c>
      <c r="G15" t="s">
        <v>129</v>
      </c>
      <c r="H15">
        <f t="shared" si="0"/>
        <v>-14</v>
      </c>
      <c r="J15" t="s">
        <v>129</v>
      </c>
      <c r="K15">
        <v>69</v>
      </c>
      <c r="P15" t="s">
        <v>129</v>
      </c>
      <c r="Q15">
        <f t="shared" si="1"/>
        <v>-0.67000000000000171</v>
      </c>
      <c r="U15" t="s">
        <v>129</v>
      </c>
      <c r="V15">
        <f t="shared" si="2"/>
        <v>4.785714285714298E-2</v>
      </c>
      <c r="X15" t="s">
        <v>208</v>
      </c>
      <c r="Y15">
        <f>(V29+V73+V51)/3</f>
        <v>-19.752162698412697</v>
      </c>
      <c r="AM15" t="s">
        <v>128</v>
      </c>
      <c r="AN15">
        <v>340</v>
      </c>
      <c r="AR15" t="s">
        <v>128</v>
      </c>
      <c r="AS15">
        <f t="shared" si="4"/>
        <v>171</v>
      </c>
      <c r="AV15" t="s">
        <v>128</v>
      </c>
      <c r="AW15">
        <v>7071</v>
      </c>
      <c r="BB15" t="s">
        <v>128</v>
      </c>
      <c r="BC15">
        <f t="shared" si="5"/>
        <v>7002.33</v>
      </c>
      <c r="BE15" s="1" t="s">
        <v>128</v>
      </c>
      <c r="BF15">
        <f t="shared" si="6"/>
        <v>40.949298245614038</v>
      </c>
      <c r="BH15" t="s">
        <v>208</v>
      </c>
      <c r="BI15">
        <f>(BF30+BF73+BF52)/3</f>
        <v>-3.6158703703703643</v>
      </c>
      <c r="CB15" t="e">
        <f t="shared" si="13"/>
        <v>#DIV/0!</v>
      </c>
      <c r="CS15" s="2" t="s">
        <v>129</v>
      </c>
      <c r="CT15" s="3">
        <v>187</v>
      </c>
      <c r="CX15" s="2" t="s">
        <v>129</v>
      </c>
      <c r="CY15">
        <f t="shared" si="9"/>
        <v>12</v>
      </c>
      <c r="DA15" s="2" t="s">
        <v>129</v>
      </c>
      <c r="DB15" s="3">
        <v>73</v>
      </c>
      <c r="DF15" s="2" t="s">
        <v>129</v>
      </c>
      <c r="DG15">
        <f t="shared" si="10"/>
        <v>0.67000000000000171</v>
      </c>
      <c r="DR15" s="2" t="s">
        <v>129</v>
      </c>
      <c r="DS15">
        <f t="shared" si="11"/>
        <v>5.5833333333333478E-2</v>
      </c>
    </row>
    <row r="16" spans="1:139" x14ac:dyDescent="0.2">
      <c r="A16" t="s">
        <v>130</v>
      </c>
      <c r="B16">
        <v>354</v>
      </c>
      <c r="G16" t="s">
        <v>130</v>
      </c>
      <c r="H16">
        <f t="shared" si="0"/>
        <v>185</v>
      </c>
      <c r="J16" t="s">
        <v>130</v>
      </c>
      <c r="K16">
        <v>9747</v>
      </c>
      <c r="P16" t="s">
        <v>130</v>
      </c>
      <c r="Q16">
        <f t="shared" si="1"/>
        <v>9677.33</v>
      </c>
      <c r="U16" t="s">
        <v>130</v>
      </c>
      <c r="V16">
        <f t="shared" si="2"/>
        <v>52.309891891891894</v>
      </c>
      <c r="X16" t="s">
        <v>209</v>
      </c>
      <c r="Y16">
        <f>(V47+V69+V19)/3</f>
        <v>-51.525346153846158</v>
      </c>
      <c r="AM16" t="s">
        <v>129</v>
      </c>
      <c r="AN16">
        <v>173</v>
      </c>
      <c r="AR16" t="s">
        <v>129</v>
      </c>
      <c r="AS16">
        <f t="shared" si="4"/>
        <v>4</v>
      </c>
      <c r="AV16" t="s">
        <v>129</v>
      </c>
      <c r="AW16">
        <v>69</v>
      </c>
      <c r="BB16" t="s">
        <v>129</v>
      </c>
      <c r="BC16">
        <f t="shared" si="5"/>
        <v>0.32999999999999829</v>
      </c>
      <c r="BE16" s="1" t="s">
        <v>129</v>
      </c>
      <c r="BF16">
        <f t="shared" si="6"/>
        <v>8.2499999999999574E-2</v>
      </c>
      <c r="BH16" t="s">
        <v>209</v>
      </c>
      <c r="BI16">
        <f>(BF20+BF48+BF69)/3</f>
        <v>-47.234646464646467</v>
      </c>
      <c r="BR16" t="s">
        <v>227</v>
      </c>
      <c r="BS16" t="s">
        <v>228</v>
      </c>
      <c r="BT16" t="s">
        <v>229</v>
      </c>
      <c r="BU16" t="s">
        <v>230</v>
      </c>
      <c r="CS16" s="2" t="s">
        <v>130</v>
      </c>
      <c r="CT16" s="3">
        <v>321</v>
      </c>
      <c r="CX16" s="2" t="s">
        <v>130</v>
      </c>
      <c r="CY16">
        <f t="shared" si="9"/>
        <v>146</v>
      </c>
      <c r="DA16" s="2" t="s">
        <v>130</v>
      </c>
      <c r="DB16" s="3">
        <v>10083</v>
      </c>
      <c r="DF16" s="2" t="s">
        <v>130</v>
      </c>
      <c r="DG16">
        <f t="shared" si="10"/>
        <v>10010.67</v>
      </c>
      <c r="DR16" s="2" t="s">
        <v>130</v>
      </c>
      <c r="DS16">
        <f t="shared" si="11"/>
        <v>68.566232876712334</v>
      </c>
    </row>
    <row r="17" spans="1:132" x14ac:dyDescent="0.2">
      <c r="A17" t="s">
        <v>131</v>
      </c>
      <c r="B17">
        <v>332</v>
      </c>
      <c r="G17" t="s">
        <v>131</v>
      </c>
      <c r="H17">
        <f t="shared" si="0"/>
        <v>163</v>
      </c>
      <c r="J17" t="s">
        <v>131</v>
      </c>
      <c r="K17">
        <v>9001</v>
      </c>
      <c r="P17" t="s">
        <v>131</v>
      </c>
      <c r="Q17">
        <f t="shared" si="1"/>
        <v>8931.33</v>
      </c>
      <c r="U17" t="s">
        <v>131</v>
      </c>
      <c r="V17">
        <f t="shared" si="2"/>
        <v>54.793435582822084</v>
      </c>
      <c r="X17" t="s">
        <v>210</v>
      </c>
      <c r="Y17">
        <f>(V52+V53+V54)/3</f>
        <v>-19.413824074074071</v>
      </c>
      <c r="AM17" t="s">
        <v>130</v>
      </c>
      <c r="AN17">
        <v>294</v>
      </c>
      <c r="AR17" t="s">
        <v>130</v>
      </c>
      <c r="AS17">
        <f t="shared" si="4"/>
        <v>125</v>
      </c>
      <c r="AV17" t="s">
        <v>130</v>
      </c>
      <c r="AW17">
        <v>7282</v>
      </c>
      <c r="BB17" t="s">
        <v>130</v>
      </c>
      <c r="BC17">
        <f t="shared" si="5"/>
        <v>7213.33</v>
      </c>
      <c r="BE17" s="1" t="s">
        <v>130</v>
      </c>
      <c r="BF17">
        <f t="shared" si="6"/>
        <v>57.70664</v>
      </c>
      <c r="BH17" t="s">
        <v>210</v>
      </c>
      <c r="BI17">
        <f>(BF53+BF54+BF55)/3</f>
        <v>-28.679252645502643</v>
      </c>
      <c r="BR17" t="s">
        <v>118</v>
      </c>
      <c r="BS17">
        <f>BS11</f>
        <v>63.947620475894617</v>
      </c>
      <c r="BT17">
        <f>STDEV(V7,V8,V9,BF8,BF9,BF10)</f>
        <v>6.7587236557142436</v>
      </c>
      <c r="BU17">
        <f>BT17/SQRT(6)</f>
        <v>2.7592373781630108</v>
      </c>
      <c r="CS17" s="2" t="s">
        <v>131</v>
      </c>
      <c r="CT17" s="3">
        <v>303</v>
      </c>
      <c r="CX17" s="2" t="s">
        <v>131</v>
      </c>
      <c r="CY17">
        <f t="shared" si="9"/>
        <v>128</v>
      </c>
      <c r="DA17" s="2" t="s">
        <v>131</v>
      </c>
      <c r="DB17" s="3">
        <v>9148</v>
      </c>
      <c r="DF17" s="2" t="s">
        <v>131</v>
      </c>
      <c r="DG17">
        <f t="shared" si="10"/>
        <v>9075.67</v>
      </c>
      <c r="DR17" s="2" t="s">
        <v>131</v>
      </c>
      <c r="DS17">
        <f t="shared" si="11"/>
        <v>70.903671875000001</v>
      </c>
      <c r="DW17" s="4" t="s">
        <v>188</v>
      </c>
      <c r="DX17" s="4" t="s">
        <v>243</v>
      </c>
      <c r="EB17" t="s">
        <v>244</v>
      </c>
    </row>
    <row r="18" spans="1:132" x14ac:dyDescent="0.2">
      <c r="A18" t="s">
        <v>132</v>
      </c>
      <c r="B18">
        <v>314</v>
      </c>
      <c r="G18" t="s">
        <v>132</v>
      </c>
      <c r="H18">
        <f t="shared" si="0"/>
        <v>145</v>
      </c>
      <c r="J18" t="s">
        <v>132</v>
      </c>
      <c r="K18">
        <v>8012</v>
      </c>
      <c r="P18" t="s">
        <v>132</v>
      </c>
      <c r="Q18">
        <f t="shared" si="1"/>
        <v>7942.33</v>
      </c>
      <c r="U18" t="s">
        <v>132</v>
      </c>
      <c r="V18">
        <f t="shared" si="2"/>
        <v>54.774689655172416</v>
      </c>
      <c r="X18" t="s">
        <v>211</v>
      </c>
      <c r="Y18">
        <f>(V43+V44+V45)/3</f>
        <v>-129.79511111111108</v>
      </c>
      <c r="AM18" t="s">
        <v>131</v>
      </c>
      <c r="AN18">
        <v>294</v>
      </c>
      <c r="AR18" t="s">
        <v>131</v>
      </c>
      <c r="AS18">
        <f t="shared" si="4"/>
        <v>125</v>
      </c>
      <c r="AV18" t="s">
        <v>131</v>
      </c>
      <c r="AW18">
        <v>7747</v>
      </c>
      <c r="BB18" t="s">
        <v>131</v>
      </c>
      <c r="BC18">
        <f t="shared" si="5"/>
        <v>7678.33</v>
      </c>
      <c r="BE18" s="1" t="s">
        <v>131</v>
      </c>
      <c r="BF18">
        <f t="shared" si="6"/>
        <v>61.426639999999999</v>
      </c>
      <c r="BH18" t="s">
        <v>211</v>
      </c>
      <c r="BI18">
        <f>(BF44+BF45+BF46)/3</f>
        <v>-56.550273809523809</v>
      </c>
      <c r="BR18" t="s">
        <v>205</v>
      </c>
      <c r="BS18">
        <f>BS12</f>
        <v>61.852636269931629</v>
      </c>
      <c r="BT18">
        <f>STDEV(V25,V26,V27,BF26,BF27,BF28)</f>
        <v>6.122433219100575</v>
      </c>
      <c r="BU18">
        <f>BT18/SQRT(6)</f>
        <v>2.4994728951769756</v>
      </c>
      <c r="CP18" t="s">
        <v>240</v>
      </c>
      <c r="CS18" s="2" t="s">
        <v>132</v>
      </c>
      <c r="CT18" s="3">
        <v>279</v>
      </c>
      <c r="CX18" s="2" t="s">
        <v>132</v>
      </c>
      <c r="CY18">
        <f t="shared" si="9"/>
        <v>104</v>
      </c>
      <c r="DA18" s="2" t="s">
        <v>132</v>
      </c>
      <c r="DB18" s="3">
        <v>7490</v>
      </c>
      <c r="DF18" s="2" t="s">
        <v>132</v>
      </c>
      <c r="DG18">
        <f t="shared" si="10"/>
        <v>7417.67</v>
      </c>
      <c r="DR18" s="2" t="s">
        <v>132</v>
      </c>
      <c r="DS18">
        <f t="shared" si="11"/>
        <v>71.323750000000004</v>
      </c>
      <c r="DW18" t="s">
        <v>205</v>
      </c>
      <c r="DX18">
        <f>DX3</f>
        <v>64.337649014542478</v>
      </c>
      <c r="DY18">
        <f>STDEV(V25,V26,V27,BF26,BF27,BF28,DS25,DS26,DS27)</f>
        <v>6.1724340946152054</v>
      </c>
    </row>
    <row r="19" spans="1:132" x14ac:dyDescent="0.2">
      <c r="A19" t="s">
        <v>133</v>
      </c>
      <c r="B19">
        <v>154</v>
      </c>
      <c r="G19" t="s">
        <v>133</v>
      </c>
      <c r="H19">
        <f t="shared" si="0"/>
        <v>-15</v>
      </c>
      <c r="J19" t="s">
        <v>133</v>
      </c>
      <c r="K19">
        <v>334</v>
      </c>
      <c r="P19" t="s">
        <v>133</v>
      </c>
      <c r="Q19">
        <f t="shared" si="1"/>
        <v>264.33</v>
      </c>
      <c r="U19" t="s">
        <v>133</v>
      </c>
      <c r="V19">
        <f t="shared" si="2"/>
        <v>-17.622</v>
      </c>
      <c r="X19" t="s">
        <v>212</v>
      </c>
      <c r="Y19">
        <f>(V61+V62+V63)/3</f>
        <v>-19.550992340992337</v>
      </c>
      <c r="AM19" t="s">
        <v>132</v>
      </c>
      <c r="AN19">
        <v>314</v>
      </c>
      <c r="AR19" t="s">
        <v>132</v>
      </c>
      <c r="AS19">
        <f t="shared" si="4"/>
        <v>145</v>
      </c>
      <c r="AV19" t="s">
        <v>132</v>
      </c>
      <c r="AW19">
        <v>8464</v>
      </c>
      <c r="BB19" t="s">
        <v>132</v>
      </c>
      <c r="BC19">
        <f t="shared" si="5"/>
        <v>8395.33</v>
      </c>
      <c r="BE19" s="1" t="s">
        <v>132</v>
      </c>
      <c r="BF19">
        <f t="shared" si="6"/>
        <v>57.898827586206899</v>
      </c>
      <c r="BH19" t="s">
        <v>212</v>
      </c>
      <c r="BI19">
        <f>(BF62+BF63+BF64)/3</f>
        <v>-35.478481481481474</v>
      </c>
      <c r="BR19" t="s">
        <v>206</v>
      </c>
      <c r="BS19">
        <f>BS13</f>
        <v>56.485020786015546</v>
      </c>
      <c r="BT19">
        <f>STDEV(V16,V17,V18,BF17,BF18,BF19)</f>
        <v>3.1977866716716434</v>
      </c>
      <c r="BU19">
        <f>BT19/SQRT(6)</f>
        <v>1.3054909419780749</v>
      </c>
      <c r="CS19" s="2" t="s">
        <v>133</v>
      </c>
      <c r="CT19" s="3">
        <v>156</v>
      </c>
      <c r="CX19" s="2" t="s">
        <v>133</v>
      </c>
      <c r="CY19">
        <f t="shared" si="9"/>
        <v>-19</v>
      </c>
      <c r="DA19" s="2" t="s">
        <v>133</v>
      </c>
      <c r="DB19" s="3">
        <v>333</v>
      </c>
      <c r="DF19" s="2" t="s">
        <v>133</v>
      </c>
      <c r="DG19">
        <f t="shared" si="10"/>
        <v>260.67</v>
      </c>
      <c r="DR19" s="2" t="s">
        <v>133</v>
      </c>
      <c r="DS19">
        <f t="shared" si="11"/>
        <v>-13.719473684210527</v>
      </c>
      <c r="DW19" t="s">
        <v>198</v>
      </c>
      <c r="DX19">
        <f>DX7</f>
        <v>12.913711426510622</v>
      </c>
      <c r="DY19">
        <f>STDEV(V21,V22,V23,BF22,BF23,BF24,DS21,DS22,DS23)</f>
        <v>2.6015411986837265</v>
      </c>
    </row>
    <row r="20" spans="1:132" x14ac:dyDescent="0.2">
      <c r="A20" t="s">
        <v>134</v>
      </c>
      <c r="B20">
        <v>419</v>
      </c>
      <c r="G20" t="s">
        <v>134</v>
      </c>
      <c r="H20">
        <f t="shared" si="0"/>
        <v>250</v>
      </c>
      <c r="J20" t="s">
        <v>134</v>
      </c>
      <c r="K20">
        <v>14151</v>
      </c>
      <c r="P20" t="s">
        <v>134</v>
      </c>
      <c r="Q20">
        <f t="shared" si="1"/>
        <v>14081.33</v>
      </c>
      <c r="U20" t="s">
        <v>134</v>
      </c>
      <c r="V20">
        <f t="shared" si="2"/>
        <v>56.325319999999998</v>
      </c>
      <c r="X20" t="s">
        <v>213</v>
      </c>
      <c r="Y20">
        <f>(V70+V71+V72)/3</f>
        <v>23.78694444444444</v>
      </c>
      <c r="AM20" t="s">
        <v>133</v>
      </c>
      <c r="AN20">
        <v>151</v>
      </c>
      <c r="AR20" t="s">
        <v>133</v>
      </c>
      <c r="AS20">
        <f t="shared" si="4"/>
        <v>-18</v>
      </c>
      <c r="AV20" t="s">
        <v>133</v>
      </c>
      <c r="AW20">
        <v>390</v>
      </c>
      <c r="BB20" t="s">
        <v>133</v>
      </c>
      <c r="BC20">
        <f t="shared" si="5"/>
        <v>321.33</v>
      </c>
      <c r="BE20" s="1" t="s">
        <v>133</v>
      </c>
      <c r="BF20">
        <f t="shared" si="6"/>
        <v>-17.851666666666667</v>
      </c>
      <c r="BH20" t="s">
        <v>213</v>
      </c>
      <c r="BI20">
        <f>(BF70+BF71+BF72)/3</f>
        <v>-38.210777777777771</v>
      </c>
      <c r="BR20" t="s">
        <v>207</v>
      </c>
      <c r="BS20">
        <f>BS14</f>
        <v>2.5479796015337732</v>
      </c>
      <c r="BT20">
        <f>STDEV(V34,V35,V36,BF35,BF36,BF37)</f>
        <v>0.34605666260612267</v>
      </c>
      <c r="BU20">
        <f>BT20/SQRT(6)</f>
        <v>0.14127704091257942</v>
      </c>
      <c r="CS20" s="2" t="s">
        <v>134</v>
      </c>
      <c r="CT20" s="3">
        <v>378</v>
      </c>
      <c r="CX20" s="2" t="s">
        <v>134</v>
      </c>
      <c r="CY20">
        <f t="shared" si="9"/>
        <v>203</v>
      </c>
      <c r="DA20" s="2" t="s">
        <v>134</v>
      </c>
      <c r="DB20" s="3">
        <v>14878</v>
      </c>
      <c r="DF20" s="2" t="s">
        <v>134</v>
      </c>
      <c r="DG20">
        <f t="shared" si="10"/>
        <v>14805.67</v>
      </c>
      <c r="DR20" s="2" t="s">
        <v>134</v>
      </c>
      <c r="DS20">
        <f t="shared" si="11"/>
        <v>72.934334975369453</v>
      </c>
      <c r="DW20" t="s">
        <v>202</v>
      </c>
      <c r="DX20">
        <f>DX11</f>
        <v>1.8724716419870653</v>
      </c>
      <c r="DY20">
        <f>STDEV(V57,V58,V59,BF58,BF59,BF60,DS57,DS58,DS59)</f>
        <v>0.74707300527955145</v>
      </c>
    </row>
    <row r="21" spans="1:132" x14ac:dyDescent="0.2">
      <c r="A21" t="s">
        <v>135</v>
      </c>
      <c r="B21">
        <v>462</v>
      </c>
      <c r="G21" t="s">
        <v>135</v>
      </c>
      <c r="H21">
        <f t="shared" si="0"/>
        <v>293</v>
      </c>
      <c r="J21" t="s">
        <v>135</v>
      </c>
      <c r="K21">
        <v>2943</v>
      </c>
      <c r="P21" t="s">
        <v>135</v>
      </c>
      <c r="Q21">
        <f t="shared" si="1"/>
        <v>2873.33</v>
      </c>
      <c r="U21" t="s">
        <v>135</v>
      </c>
      <c r="V21">
        <f t="shared" si="2"/>
        <v>9.8065870307167238</v>
      </c>
      <c r="X21" t="s">
        <v>114</v>
      </c>
      <c r="Y21">
        <f>(V33+V11+V55)/3</f>
        <v>-2.3898659220195215</v>
      </c>
      <c r="AM21" t="s">
        <v>134</v>
      </c>
      <c r="AN21">
        <v>475</v>
      </c>
      <c r="AR21" t="s">
        <v>134</v>
      </c>
      <c r="AS21">
        <f t="shared" si="4"/>
        <v>306</v>
      </c>
      <c r="AV21" t="s">
        <v>134</v>
      </c>
      <c r="AW21">
        <v>26244</v>
      </c>
      <c r="BB21" t="s">
        <v>134</v>
      </c>
      <c r="BC21">
        <f t="shared" si="5"/>
        <v>26175.33</v>
      </c>
      <c r="BE21" s="1" t="s">
        <v>134</v>
      </c>
      <c r="BF21">
        <f t="shared" si="6"/>
        <v>85.540294117647065</v>
      </c>
      <c r="BH21" t="s">
        <v>114</v>
      </c>
      <c r="BI21">
        <f>(BF12+BF56+BF34)/3</f>
        <v>48.775394995300054</v>
      </c>
      <c r="BR21" t="s">
        <v>196</v>
      </c>
      <c r="BS21">
        <f t="shared" ref="BS21:BS28" si="14">BS3</f>
        <v>34.762411161679005</v>
      </c>
      <c r="BT21">
        <f>STDEV(V4,V5,BF4,BF5,BF6)</f>
        <v>6.1174452612256278</v>
      </c>
      <c r="BU21">
        <f>BT21/SQRT(5)</f>
        <v>2.7358046905468925</v>
      </c>
      <c r="CS21" s="2" t="s">
        <v>135</v>
      </c>
      <c r="CT21" s="3">
        <v>443</v>
      </c>
      <c r="CX21" s="2" t="s">
        <v>135</v>
      </c>
      <c r="CY21">
        <f t="shared" si="9"/>
        <v>268</v>
      </c>
      <c r="DA21" s="2" t="s">
        <v>135</v>
      </c>
      <c r="DB21" s="3">
        <v>4067</v>
      </c>
      <c r="DF21" s="2" t="s">
        <v>135</v>
      </c>
      <c r="DG21">
        <f t="shared" si="10"/>
        <v>3994.67</v>
      </c>
      <c r="DR21" s="2" t="s">
        <v>135</v>
      </c>
      <c r="DS21">
        <f t="shared" si="11"/>
        <v>14.905485074626865</v>
      </c>
      <c r="DW21" t="s">
        <v>118</v>
      </c>
      <c r="DX21">
        <f>DX2</f>
        <v>68.176933914552052</v>
      </c>
      <c r="DY21">
        <f>STDEV(V7,V8,V9,BF8,BF9,BF10,DS7,DS8,DS9)</f>
        <v>8.4098549468119224</v>
      </c>
    </row>
    <row r="22" spans="1:132" x14ac:dyDescent="0.2">
      <c r="A22" t="s">
        <v>136</v>
      </c>
      <c r="B22">
        <v>495</v>
      </c>
      <c r="G22" t="s">
        <v>136</v>
      </c>
      <c r="H22">
        <f t="shared" si="0"/>
        <v>326</v>
      </c>
      <c r="J22" t="s">
        <v>136</v>
      </c>
      <c r="K22">
        <v>3085</v>
      </c>
      <c r="P22" t="s">
        <v>136</v>
      </c>
      <c r="Q22">
        <f t="shared" si="1"/>
        <v>3015.33</v>
      </c>
      <c r="U22" t="s">
        <v>136</v>
      </c>
      <c r="V22">
        <f t="shared" si="2"/>
        <v>9.2494785276073621</v>
      </c>
      <c r="X22" t="s">
        <v>214</v>
      </c>
      <c r="Y22">
        <f>(V37+V65+V15)/3</f>
        <v>9.6415343915344065E-2</v>
      </c>
      <c r="AM22" t="s">
        <v>135</v>
      </c>
      <c r="AN22">
        <v>459</v>
      </c>
      <c r="AR22" t="s">
        <v>135</v>
      </c>
      <c r="AS22">
        <f t="shared" si="4"/>
        <v>290</v>
      </c>
      <c r="AV22" t="s">
        <v>135</v>
      </c>
      <c r="AW22">
        <v>4176</v>
      </c>
      <c r="BB22" t="s">
        <v>135</v>
      </c>
      <c r="BC22">
        <f t="shared" si="5"/>
        <v>4107.33</v>
      </c>
      <c r="BE22" s="1" t="s">
        <v>135</v>
      </c>
      <c r="BF22">
        <f t="shared" si="6"/>
        <v>14.163206896551724</v>
      </c>
      <c r="BH22" t="s">
        <v>214</v>
      </c>
      <c r="BI22">
        <f>(BF16+BF38+BF66)/3</f>
        <v>6.3517316017315847E-2</v>
      </c>
      <c r="BR22" t="s">
        <v>198</v>
      </c>
      <c r="BS22">
        <f t="shared" si="14"/>
        <v>11.953944274789846</v>
      </c>
      <c r="BT22">
        <f>STDEV(V21,V22,V23,BF22,BF23,BF24)</f>
        <v>2.733529576150842</v>
      </c>
      <c r="BU22">
        <f t="shared" ref="BU22:BU28" si="15">BT22/SQRT(6)</f>
        <v>1.1159587763959895</v>
      </c>
      <c r="CS22" s="2" t="s">
        <v>136</v>
      </c>
      <c r="CT22" s="3">
        <v>447</v>
      </c>
      <c r="CX22" s="2" t="s">
        <v>136</v>
      </c>
      <c r="CY22">
        <f t="shared" si="9"/>
        <v>272</v>
      </c>
      <c r="DA22" s="2" t="s">
        <v>136</v>
      </c>
      <c r="DB22" s="3">
        <v>4182</v>
      </c>
      <c r="DF22" s="2" t="s">
        <v>136</v>
      </c>
      <c r="DG22">
        <f t="shared" si="10"/>
        <v>4109.67</v>
      </c>
      <c r="DR22" s="2" t="s">
        <v>136</v>
      </c>
      <c r="DS22">
        <f t="shared" si="11"/>
        <v>15.109080882352941</v>
      </c>
      <c r="DW22" t="s">
        <v>196</v>
      </c>
      <c r="DX22">
        <f>DX6</f>
        <v>38.649271741979909</v>
      </c>
      <c r="DY22">
        <f>STDEV(V4,V5,BF4,BF5,BF6,DS3,DS4,DS5)</f>
        <v>7.2753328938414885</v>
      </c>
    </row>
    <row r="23" spans="1:132" x14ac:dyDescent="0.2">
      <c r="A23" t="s">
        <v>137</v>
      </c>
      <c r="B23">
        <v>376</v>
      </c>
      <c r="G23" t="s">
        <v>137</v>
      </c>
      <c r="H23">
        <f t="shared" si="0"/>
        <v>207</v>
      </c>
      <c r="J23" t="s">
        <v>137</v>
      </c>
      <c r="K23">
        <v>2005</v>
      </c>
      <c r="P23" t="s">
        <v>137</v>
      </c>
      <c r="Q23">
        <f t="shared" si="1"/>
        <v>1935.33</v>
      </c>
      <c r="U23" t="s">
        <v>137</v>
      </c>
      <c r="V23">
        <f t="shared" si="2"/>
        <v>9.3494202898550718</v>
      </c>
      <c r="AM23" t="s">
        <v>136</v>
      </c>
      <c r="AN23">
        <v>470</v>
      </c>
      <c r="AR23" t="s">
        <v>136</v>
      </c>
      <c r="AS23">
        <f t="shared" si="4"/>
        <v>301</v>
      </c>
      <c r="AV23" t="s">
        <v>136</v>
      </c>
      <c r="AW23">
        <v>4472</v>
      </c>
      <c r="BB23" t="s">
        <v>136</v>
      </c>
      <c r="BC23">
        <f t="shared" si="5"/>
        <v>4403.33</v>
      </c>
      <c r="BE23" s="1" t="s">
        <v>136</v>
      </c>
      <c r="BF23">
        <f t="shared" si="6"/>
        <v>14.629003322259136</v>
      </c>
      <c r="BR23" t="s">
        <v>199</v>
      </c>
      <c r="BS23">
        <f t="shared" si="14"/>
        <v>39.024274563716283</v>
      </c>
      <c r="BT23">
        <f>STDEV(BF13,BF14,BF15,V12,V13,V14)</f>
        <v>4.8031485802300091</v>
      </c>
      <c r="BU23">
        <f t="shared" si="15"/>
        <v>1.9608771967228322</v>
      </c>
      <c r="CS23" s="2" t="s">
        <v>137</v>
      </c>
      <c r="CT23" s="3">
        <v>467</v>
      </c>
      <c r="CX23" s="2" t="s">
        <v>137</v>
      </c>
      <c r="CY23">
        <f t="shared" si="9"/>
        <v>292</v>
      </c>
      <c r="DA23" s="2" t="s">
        <v>137</v>
      </c>
      <c r="DB23" s="3">
        <v>4302</v>
      </c>
      <c r="DF23" s="2" t="s">
        <v>137</v>
      </c>
      <c r="DG23">
        <f t="shared" si="10"/>
        <v>4229.67</v>
      </c>
      <c r="DR23" s="2" t="s">
        <v>137</v>
      </c>
      <c r="DS23">
        <f t="shared" si="11"/>
        <v>14.485171232876713</v>
      </c>
      <c r="DW23" t="s">
        <v>201</v>
      </c>
      <c r="DX23">
        <f>DX10</f>
        <v>3.1763799261271624</v>
      </c>
      <c r="DY23">
        <f>STDEV(BF40,BF41,BF42,V39,V40,V41,DS39,DS40,DS41)</f>
        <v>1.7412314510671525</v>
      </c>
    </row>
    <row r="24" spans="1:132" x14ac:dyDescent="0.2">
      <c r="A24" t="s">
        <v>139</v>
      </c>
      <c r="B24">
        <v>364</v>
      </c>
      <c r="G24" t="s">
        <v>139</v>
      </c>
      <c r="H24">
        <f t="shared" si="0"/>
        <v>195</v>
      </c>
      <c r="J24" t="s">
        <v>139</v>
      </c>
      <c r="K24">
        <v>11551</v>
      </c>
      <c r="P24" t="s">
        <v>139</v>
      </c>
      <c r="Q24">
        <f t="shared" si="1"/>
        <v>11481.33</v>
      </c>
      <c r="U24" t="s">
        <v>139</v>
      </c>
      <c r="V24">
        <f t="shared" si="2"/>
        <v>58.878615384615387</v>
      </c>
      <c r="AK24" t="s">
        <v>216</v>
      </c>
      <c r="AM24" t="s">
        <v>137</v>
      </c>
      <c r="AN24">
        <v>432</v>
      </c>
      <c r="AR24" t="s">
        <v>137</v>
      </c>
      <c r="AS24">
        <f t="shared" si="4"/>
        <v>263</v>
      </c>
      <c r="AV24" t="s">
        <v>137</v>
      </c>
      <c r="AW24">
        <v>3889</v>
      </c>
      <c r="BB24" t="s">
        <v>137</v>
      </c>
      <c r="BC24">
        <f t="shared" si="5"/>
        <v>3820.33</v>
      </c>
      <c r="BE24" s="1" t="s">
        <v>137</v>
      </c>
      <c r="BF24">
        <f t="shared" si="6"/>
        <v>14.525969581749049</v>
      </c>
      <c r="BR24" t="s">
        <v>200</v>
      </c>
      <c r="BS24">
        <f t="shared" si="14"/>
        <v>2.556620094925929</v>
      </c>
      <c r="BT24">
        <f>STDEV(BF31,BF32,BF33,V30,V31,V32)</f>
        <v>0.75779771844224275</v>
      </c>
      <c r="BU24">
        <f t="shared" si="15"/>
        <v>0.30936962307146143</v>
      </c>
      <c r="CS24" s="2" t="s">
        <v>139</v>
      </c>
      <c r="CT24" s="3">
        <v>372</v>
      </c>
      <c r="CX24" s="2" t="s">
        <v>139</v>
      </c>
      <c r="CY24">
        <f t="shared" si="9"/>
        <v>197</v>
      </c>
      <c r="DA24" s="2" t="s">
        <v>139</v>
      </c>
      <c r="DB24" s="3">
        <v>14936</v>
      </c>
      <c r="DF24" s="2" t="s">
        <v>139</v>
      </c>
      <c r="DG24">
        <f t="shared" si="10"/>
        <v>14863.67</v>
      </c>
      <c r="DR24" s="2" t="s">
        <v>139</v>
      </c>
      <c r="DS24">
        <f t="shared" si="11"/>
        <v>75.450101522842644</v>
      </c>
      <c r="DW24" t="s">
        <v>207</v>
      </c>
      <c r="DX24">
        <f>DX5</f>
        <v>2.9012546457772066</v>
      </c>
      <c r="DY24">
        <f>STDEV(V34,V35,V36,BF35,BF36,BF37,DS34,DS35,DS36)</f>
        <v>0.62457121158686169</v>
      </c>
    </row>
    <row r="25" spans="1:132" x14ac:dyDescent="0.2">
      <c r="A25" t="s">
        <v>140</v>
      </c>
      <c r="B25">
        <v>376</v>
      </c>
      <c r="G25" t="s">
        <v>140</v>
      </c>
      <c r="H25">
        <f t="shared" si="0"/>
        <v>207</v>
      </c>
      <c r="J25" t="s">
        <v>140</v>
      </c>
      <c r="K25">
        <v>11468</v>
      </c>
      <c r="P25" t="s">
        <v>140</v>
      </c>
      <c r="Q25">
        <f t="shared" si="1"/>
        <v>11398.33</v>
      </c>
      <c r="U25" t="s">
        <v>140</v>
      </c>
      <c r="V25">
        <f t="shared" si="2"/>
        <v>55.064396135265703</v>
      </c>
      <c r="AM25" t="s">
        <v>139</v>
      </c>
      <c r="AN25">
        <v>438</v>
      </c>
      <c r="AR25" t="s">
        <v>139</v>
      </c>
      <c r="AS25">
        <f t="shared" si="4"/>
        <v>269</v>
      </c>
      <c r="AV25" t="s">
        <v>139</v>
      </c>
      <c r="AW25">
        <v>18610</v>
      </c>
      <c r="BB25" t="s">
        <v>139</v>
      </c>
      <c r="BC25">
        <f t="shared" si="5"/>
        <v>18541.330000000002</v>
      </c>
      <c r="BE25" s="1" t="s">
        <v>139</v>
      </c>
      <c r="BF25">
        <f t="shared" si="6"/>
        <v>68.926877323420086</v>
      </c>
      <c r="BR25" t="s">
        <v>201</v>
      </c>
      <c r="BS25">
        <f t="shared" si="14"/>
        <v>2.7253701610088723</v>
      </c>
      <c r="BT25">
        <f>STDEV(BF40,BF41,BF42,V39,V40,V41)</f>
        <v>1.4811549907971009</v>
      </c>
      <c r="BU25">
        <f t="shared" si="15"/>
        <v>0.60467899290493521</v>
      </c>
      <c r="CS25" s="2" t="s">
        <v>140</v>
      </c>
      <c r="CT25" s="3">
        <v>341</v>
      </c>
      <c r="CX25" s="2" t="s">
        <v>140</v>
      </c>
      <c r="CY25">
        <f t="shared" si="9"/>
        <v>166</v>
      </c>
      <c r="DA25" s="2" t="s">
        <v>140</v>
      </c>
      <c r="DB25" s="3">
        <v>11673</v>
      </c>
      <c r="DF25" s="2" t="s">
        <v>140</v>
      </c>
      <c r="DG25">
        <f t="shared" si="10"/>
        <v>11600.67</v>
      </c>
      <c r="DR25" s="2" t="s">
        <v>140</v>
      </c>
      <c r="DS25">
        <f t="shared" si="11"/>
        <v>69.883554216867466</v>
      </c>
      <c r="DW25" t="s">
        <v>200</v>
      </c>
      <c r="DX25">
        <f>DX9</f>
        <v>2.9474780344442477</v>
      </c>
      <c r="DY25">
        <f>STDEV(BF31,BF32,BF33,V30,V31,V32,DS30,DS31,DS32)</f>
        <v>0.94390397181172758</v>
      </c>
    </row>
    <row r="26" spans="1:132" x14ac:dyDescent="0.2">
      <c r="A26" t="s">
        <v>141</v>
      </c>
      <c r="B26">
        <v>388</v>
      </c>
      <c r="G26" t="s">
        <v>141</v>
      </c>
      <c r="H26">
        <f t="shared" si="0"/>
        <v>219</v>
      </c>
      <c r="J26" t="s">
        <v>141</v>
      </c>
      <c r="K26">
        <v>13201</v>
      </c>
      <c r="P26" t="s">
        <v>141</v>
      </c>
      <c r="Q26">
        <f t="shared" si="1"/>
        <v>13131.33</v>
      </c>
      <c r="U26" t="s">
        <v>141</v>
      </c>
      <c r="V26">
        <f t="shared" si="2"/>
        <v>59.960410958904106</v>
      </c>
      <c r="AM26" t="s">
        <v>140</v>
      </c>
      <c r="AN26">
        <v>456</v>
      </c>
      <c r="AR26" t="s">
        <v>140</v>
      </c>
      <c r="AS26">
        <f t="shared" si="4"/>
        <v>287</v>
      </c>
      <c r="AV26" t="s">
        <v>140</v>
      </c>
      <c r="AW26">
        <v>19759</v>
      </c>
      <c r="BB26" t="s">
        <v>140</v>
      </c>
      <c r="BC26">
        <f t="shared" si="5"/>
        <v>19690.330000000002</v>
      </c>
      <c r="BE26" s="1" t="s">
        <v>140</v>
      </c>
      <c r="BF26">
        <f t="shared" si="6"/>
        <v>68.607421602787468</v>
      </c>
      <c r="BR26" t="s">
        <v>202</v>
      </c>
      <c r="BS26">
        <f t="shared" si="14"/>
        <v>1.6043164944453887</v>
      </c>
      <c r="BT26">
        <f>STDEV(V57,V58,V59,BF58,BF59,BF60)</f>
        <v>0.77261468656346843</v>
      </c>
      <c r="BU26">
        <f t="shared" si="15"/>
        <v>0.31541862497680939</v>
      </c>
      <c r="CS26" s="2" t="s">
        <v>141</v>
      </c>
      <c r="CT26" s="3">
        <v>380</v>
      </c>
      <c r="CX26" s="2" t="s">
        <v>141</v>
      </c>
      <c r="CY26">
        <f t="shared" si="9"/>
        <v>205</v>
      </c>
      <c r="DA26" s="2" t="s">
        <v>141</v>
      </c>
      <c r="DB26" s="3">
        <v>14568</v>
      </c>
      <c r="DF26" s="2" t="s">
        <v>141</v>
      </c>
      <c r="DG26">
        <f t="shared" si="10"/>
        <v>14495.67</v>
      </c>
      <c r="DR26" s="2" t="s">
        <v>141</v>
      </c>
      <c r="DS26">
        <f t="shared" si="11"/>
        <v>70.71058536585366</v>
      </c>
      <c r="DW26" t="s">
        <v>204</v>
      </c>
      <c r="DX26">
        <f>DX13</f>
        <v>1.1049200345433376</v>
      </c>
      <c r="DY26">
        <f>STDEV(V66,V67,V68,BF2,BF67,BF68,DS66,DS67,DS68)</f>
        <v>0.37570101257523186</v>
      </c>
    </row>
    <row r="27" spans="1:132" x14ac:dyDescent="0.2">
      <c r="A27" t="s">
        <v>142</v>
      </c>
      <c r="B27">
        <v>364</v>
      </c>
      <c r="G27" t="s">
        <v>142</v>
      </c>
      <c r="H27">
        <f t="shared" si="0"/>
        <v>195</v>
      </c>
      <c r="J27" t="s">
        <v>142</v>
      </c>
      <c r="K27">
        <v>11482</v>
      </c>
      <c r="P27" t="s">
        <v>142</v>
      </c>
      <c r="Q27">
        <f t="shared" si="1"/>
        <v>11412.33</v>
      </c>
      <c r="U27" t="s">
        <v>142</v>
      </c>
      <c r="V27">
        <f t="shared" si="2"/>
        <v>58.52476923076923</v>
      </c>
      <c r="AM27" t="s">
        <v>141</v>
      </c>
      <c r="AN27">
        <v>437</v>
      </c>
      <c r="AR27" t="s">
        <v>141</v>
      </c>
      <c r="AS27">
        <f t="shared" si="4"/>
        <v>268</v>
      </c>
      <c r="AV27" t="s">
        <v>141</v>
      </c>
      <c r="AW27">
        <v>15795</v>
      </c>
      <c r="BB27" t="s">
        <v>141</v>
      </c>
      <c r="BC27">
        <f t="shared" si="5"/>
        <v>15726.33</v>
      </c>
      <c r="BE27" s="1" t="s">
        <v>141</v>
      </c>
      <c r="BF27">
        <f t="shared" si="6"/>
        <v>58.680335820895522</v>
      </c>
      <c r="BR27" t="s">
        <v>203</v>
      </c>
      <c r="BS27">
        <f t="shared" si="14"/>
        <v>3.9322532394115286</v>
      </c>
      <c r="BT27">
        <f>STDEV(V48,V49,V50,BF49,BF50,BF51)</f>
        <v>1.0578590805906085</v>
      </c>
      <c r="BU27">
        <f t="shared" si="15"/>
        <v>0.43186916120278984</v>
      </c>
      <c r="CS27" s="2" t="s">
        <v>142</v>
      </c>
      <c r="CT27" s="3">
        <v>399</v>
      </c>
      <c r="CX27" s="2" t="s">
        <v>142</v>
      </c>
      <c r="CY27">
        <f t="shared" si="9"/>
        <v>224</v>
      </c>
      <c r="DA27" s="2" t="s">
        <v>142</v>
      </c>
      <c r="DB27" s="3">
        <v>15154</v>
      </c>
      <c r="DF27" s="2" t="s">
        <v>142</v>
      </c>
      <c r="DG27">
        <f t="shared" si="10"/>
        <v>15081.67</v>
      </c>
      <c r="DR27" s="2" t="s">
        <v>142</v>
      </c>
      <c r="DS27">
        <f t="shared" si="11"/>
        <v>67.328883928571429</v>
      </c>
      <c r="DW27" t="s">
        <v>206</v>
      </c>
      <c r="DX27">
        <f>DX4</f>
        <v>61.078197718645065</v>
      </c>
      <c r="DY27">
        <f>STDEV(V16,V17,V18,BF17,BF18,BF19,DS16,DS17,DS18)</f>
        <v>7.3764388297290573</v>
      </c>
    </row>
    <row r="28" spans="1:132" x14ac:dyDescent="0.2">
      <c r="A28" t="s">
        <v>143</v>
      </c>
      <c r="B28">
        <v>314</v>
      </c>
      <c r="G28" t="s">
        <v>143</v>
      </c>
      <c r="H28">
        <f t="shared" si="0"/>
        <v>145</v>
      </c>
      <c r="J28" t="s">
        <v>143</v>
      </c>
      <c r="K28">
        <v>8461</v>
      </c>
      <c r="P28" t="s">
        <v>143</v>
      </c>
      <c r="Q28">
        <f t="shared" si="1"/>
        <v>8391.33</v>
      </c>
      <c r="U28" t="s">
        <v>143</v>
      </c>
      <c r="V28">
        <f t="shared" si="2"/>
        <v>57.871241379310341</v>
      </c>
      <c r="AM28" t="s">
        <v>142</v>
      </c>
      <c r="AN28">
        <v>479</v>
      </c>
      <c r="AR28" t="s">
        <v>142</v>
      </c>
      <c r="AS28">
        <f t="shared" si="4"/>
        <v>310</v>
      </c>
      <c r="AV28" t="s">
        <v>142</v>
      </c>
      <c r="AW28">
        <v>21855</v>
      </c>
      <c r="BB28" t="s">
        <v>142</v>
      </c>
      <c r="BC28">
        <f t="shared" si="5"/>
        <v>21786.33</v>
      </c>
      <c r="BE28" s="1" t="s">
        <v>142</v>
      </c>
      <c r="BF28">
        <f t="shared" si="6"/>
        <v>70.278483870967747</v>
      </c>
      <c r="BR28" t="s">
        <v>204</v>
      </c>
      <c r="BS28">
        <f t="shared" si="14"/>
        <v>0.94252674653718749</v>
      </c>
      <c r="BT28">
        <f>STDEV(V66,V67,V68,BF2,BF67,BF68)</f>
        <v>0.3490389268929267</v>
      </c>
      <c r="BU28">
        <f t="shared" si="15"/>
        <v>0.1424945452093786</v>
      </c>
      <c r="CS28" s="2" t="s">
        <v>143</v>
      </c>
      <c r="CT28" s="3">
        <v>375</v>
      </c>
      <c r="CX28" s="2" t="s">
        <v>143</v>
      </c>
      <c r="CY28">
        <f t="shared" si="9"/>
        <v>200</v>
      </c>
      <c r="DA28" s="2" t="s">
        <v>143</v>
      </c>
      <c r="DB28" s="3">
        <v>13143</v>
      </c>
      <c r="DF28" s="2" t="s">
        <v>143</v>
      </c>
      <c r="DG28">
        <f t="shared" si="10"/>
        <v>13070.67</v>
      </c>
      <c r="DR28" s="2" t="s">
        <v>143</v>
      </c>
      <c r="DS28">
        <f t="shared" si="11"/>
        <v>65.353350000000006</v>
      </c>
      <c r="DW28" t="s">
        <v>199</v>
      </c>
      <c r="DX28">
        <f>DX8</f>
        <v>42.412917285168227</v>
      </c>
      <c r="DY28">
        <f>STDEV(BF13,BF14,BF15,V12,V13,V14,DS12,DS13,DS14)</f>
        <v>6.3494372623668527</v>
      </c>
    </row>
    <row r="29" spans="1:132" x14ac:dyDescent="0.2">
      <c r="A29" t="s">
        <v>144</v>
      </c>
      <c r="B29">
        <v>162</v>
      </c>
      <c r="G29" t="s">
        <v>144</v>
      </c>
      <c r="H29">
        <f t="shared" si="0"/>
        <v>-7</v>
      </c>
      <c r="J29" t="s">
        <v>144</v>
      </c>
      <c r="K29">
        <v>221</v>
      </c>
      <c r="P29" t="s">
        <v>144</v>
      </c>
      <c r="Q29">
        <f t="shared" si="1"/>
        <v>151.32999999999998</v>
      </c>
      <c r="U29" t="s">
        <v>144</v>
      </c>
      <c r="V29">
        <f t="shared" si="2"/>
        <v>-21.618571428571425</v>
      </c>
      <c r="AM29" t="s">
        <v>143</v>
      </c>
      <c r="AN29">
        <v>455</v>
      </c>
      <c r="AR29" t="s">
        <v>143</v>
      </c>
      <c r="AS29">
        <f t="shared" si="4"/>
        <v>286</v>
      </c>
      <c r="AV29" t="s">
        <v>143</v>
      </c>
      <c r="AW29">
        <v>18638</v>
      </c>
      <c r="BB29" t="s">
        <v>143</v>
      </c>
      <c r="BC29">
        <f t="shared" si="5"/>
        <v>18569.330000000002</v>
      </c>
      <c r="BE29" s="1" t="s">
        <v>143</v>
      </c>
      <c r="BF29">
        <f t="shared" si="6"/>
        <v>64.927727272727282</v>
      </c>
      <c r="CS29" s="2" t="s">
        <v>144</v>
      </c>
      <c r="CT29" s="3">
        <v>164</v>
      </c>
      <c r="CX29" s="2" t="s">
        <v>144</v>
      </c>
      <c r="CY29">
        <f t="shared" si="9"/>
        <v>-11</v>
      </c>
      <c r="DA29" s="2" t="s">
        <v>144</v>
      </c>
      <c r="DB29" s="3">
        <v>386</v>
      </c>
      <c r="DF29" s="2" t="s">
        <v>144</v>
      </c>
      <c r="DG29">
        <f t="shared" si="10"/>
        <v>313.67</v>
      </c>
      <c r="DR29" s="2" t="s">
        <v>144</v>
      </c>
      <c r="DS29">
        <f t="shared" si="11"/>
        <v>-28.515454545454546</v>
      </c>
      <c r="DW29" t="s">
        <v>203</v>
      </c>
      <c r="DX29">
        <f>DX12</f>
        <v>4.3559962080754513</v>
      </c>
      <c r="DY29">
        <f>STDEV(V48,V49,V50,BF49,BF50,BF51,DS48,DS49)</f>
        <v>1.2089774797918948</v>
      </c>
    </row>
    <row r="30" spans="1:132" x14ac:dyDescent="0.2">
      <c r="A30" t="s">
        <v>145</v>
      </c>
      <c r="B30">
        <v>455</v>
      </c>
      <c r="G30" t="s">
        <v>145</v>
      </c>
      <c r="H30">
        <f t="shared" si="0"/>
        <v>286</v>
      </c>
      <c r="J30" t="s">
        <v>145</v>
      </c>
      <c r="K30">
        <v>582</v>
      </c>
      <c r="P30" t="s">
        <v>145</v>
      </c>
      <c r="Q30">
        <f t="shared" si="1"/>
        <v>512.33000000000004</v>
      </c>
      <c r="U30" t="s">
        <v>145</v>
      </c>
      <c r="V30">
        <f t="shared" si="2"/>
        <v>1.7913636363636365</v>
      </c>
      <c r="AM30" t="s">
        <v>144</v>
      </c>
      <c r="AN30">
        <v>160</v>
      </c>
      <c r="AR30" t="s">
        <v>144</v>
      </c>
      <c r="AS30">
        <f t="shared" si="4"/>
        <v>-9</v>
      </c>
      <c r="AV30" t="s">
        <v>144</v>
      </c>
      <c r="AW30">
        <v>316</v>
      </c>
      <c r="BB30" t="s">
        <v>144</v>
      </c>
      <c r="BC30">
        <f t="shared" si="5"/>
        <v>247.32999999999998</v>
      </c>
      <c r="BE30" s="1" t="s">
        <v>144</v>
      </c>
      <c r="BF30">
        <f t="shared" si="6"/>
        <v>-27.481111111111108</v>
      </c>
      <c r="CS30" s="2" t="s">
        <v>145</v>
      </c>
      <c r="CT30" s="3">
        <v>427</v>
      </c>
      <c r="CX30" s="2" t="s">
        <v>145</v>
      </c>
      <c r="CY30">
        <f t="shared" si="9"/>
        <v>252</v>
      </c>
      <c r="DA30" s="2" t="s">
        <v>145</v>
      </c>
      <c r="DB30" s="3">
        <v>915</v>
      </c>
      <c r="DF30" s="2" t="s">
        <v>145</v>
      </c>
      <c r="DG30">
        <f t="shared" si="10"/>
        <v>842.67</v>
      </c>
      <c r="DR30" s="2" t="s">
        <v>145</v>
      </c>
      <c r="DS30">
        <f t="shared" si="11"/>
        <v>3.3439285714285711</v>
      </c>
    </row>
    <row r="31" spans="1:132" x14ac:dyDescent="0.2">
      <c r="A31" t="s">
        <v>146</v>
      </c>
      <c r="B31">
        <v>454</v>
      </c>
      <c r="G31" t="s">
        <v>146</v>
      </c>
      <c r="H31">
        <f t="shared" si="0"/>
        <v>285</v>
      </c>
      <c r="J31" t="s">
        <v>146</v>
      </c>
      <c r="K31">
        <v>558</v>
      </c>
      <c r="P31" t="s">
        <v>146</v>
      </c>
      <c r="Q31">
        <f t="shared" si="1"/>
        <v>488.33</v>
      </c>
      <c r="U31" t="s">
        <v>146</v>
      </c>
      <c r="V31">
        <f t="shared" si="2"/>
        <v>1.713438596491228</v>
      </c>
      <c r="AM31" t="s">
        <v>145</v>
      </c>
      <c r="AN31">
        <v>478</v>
      </c>
      <c r="AR31" t="s">
        <v>145</v>
      </c>
      <c r="AS31">
        <f t="shared" si="4"/>
        <v>309</v>
      </c>
      <c r="AV31" t="s">
        <v>145</v>
      </c>
      <c r="AW31">
        <v>1083</v>
      </c>
      <c r="BB31" t="s">
        <v>145</v>
      </c>
      <c r="BC31">
        <f t="shared" si="5"/>
        <v>1014.33</v>
      </c>
      <c r="BE31" s="1" t="s">
        <v>145</v>
      </c>
      <c r="BF31">
        <f t="shared" si="6"/>
        <v>3.2826213592233011</v>
      </c>
      <c r="BS31" t="s">
        <v>232</v>
      </c>
      <c r="BT31" t="s">
        <v>229</v>
      </c>
      <c r="BU31" t="s">
        <v>230</v>
      </c>
      <c r="CS31" s="2" t="s">
        <v>146</v>
      </c>
      <c r="CT31" s="3">
        <v>317</v>
      </c>
      <c r="CX31" s="2" t="s">
        <v>146</v>
      </c>
      <c r="CY31">
        <f t="shared" si="9"/>
        <v>142</v>
      </c>
      <c r="DA31" s="2" t="s">
        <v>146</v>
      </c>
      <c r="DB31" s="3">
        <v>743</v>
      </c>
      <c r="DF31" s="2" t="s">
        <v>146</v>
      </c>
      <c r="DG31">
        <f t="shared" si="10"/>
        <v>670.67</v>
      </c>
      <c r="DR31" s="2" t="s">
        <v>146</v>
      </c>
      <c r="DS31">
        <f t="shared" si="11"/>
        <v>4.7230281690140838</v>
      </c>
    </row>
    <row r="32" spans="1:132" x14ac:dyDescent="0.2">
      <c r="A32" t="s">
        <v>147</v>
      </c>
      <c r="B32">
        <v>470</v>
      </c>
      <c r="G32" t="s">
        <v>147</v>
      </c>
      <c r="H32">
        <f t="shared" si="0"/>
        <v>301</v>
      </c>
      <c r="J32" t="s">
        <v>147</v>
      </c>
      <c r="K32">
        <v>752</v>
      </c>
      <c r="P32" t="s">
        <v>147</v>
      </c>
      <c r="Q32">
        <f t="shared" si="1"/>
        <v>682.33</v>
      </c>
      <c r="U32" t="s">
        <v>147</v>
      </c>
      <c r="V32">
        <f t="shared" si="2"/>
        <v>2.2668770764119603</v>
      </c>
      <c r="AM32" t="s">
        <v>146</v>
      </c>
      <c r="AN32">
        <v>601</v>
      </c>
      <c r="AR32" t="s">
        <v>146</v>
      </c>
      <c r="AS32">
        <f t="shared" si="4"/>
        <v>432</v>
      </c>
      <c r="AV32" t="s">
        <v>146</v>
      </c>
      <c r="AW32">
        <v>1587</v>
      </c>
      <c r="BB32" t="s">
        <v>146</v>
      </c>
      <c r="BC32">
        <f t="shared" si="5"/>
        <v>1518.33</v>
      </c>
      <c r="BE32" s="1" t="s">
        <v>146</v>
      </c>
      <c r="BF32">
        <f t="shared" si="6"/>
        <v>3.5146527777777776</v>
      </c>
      <c r="BR32" t="s">
        <v>188</v>
      </c>
      <c r="BS32" t="s">
        <v>231</v>
      </c>
      <c r="CS32" s="2" t="s">
        <v>147</v>
      </c>
      <c r="CT32" s="3">
        <v>479</v>
      </c>
      <c r="CX32" s="2" t="s">
        <v>147</v>
      </c>
      <c r="CY32">
        <f t="shared" si="9"/>
        <v>304</v>
      </c>
      <c r="DA32" s="2" t="s">
        <v>147</v>
      </c>
      <c r="DB32" s="3">
        <v>1021</v>
      </c>
      <c r="DF32" s="2" t="s">
        <v>147</v>
      </c>
      <c r="DG32">
        <f t="shared" si="10"/>
        <v>948.67</v>
      </c>
      <c r="DR32" s="2" t="s">
        <v>147</v>
      </c>
      <c r="DS32">
        <f t="shared" si="11"/>
        <v>3.120625</v>
      </c>
    </row>
    <row r="33" spans="1:123" x14ac:dyDescent="0.2">
      <c r="A33" t="s">
        <v>138</v>
      </c>
      <c r="B33">
        <v>365</v>
      </c>
      <c r="G33" t="s">
        <v>138</v>
      </c>
      <c r="H33">
        <f t="shared" si="0"/>
        <v>196</v>
      </c>
      <c r="J33" t="s">
        <v>138</v>
      </c>
      <c r="K33">
        <v>643</v>
      </c>
      <c r="P33" t="s">
        <v>138</v>
      </c>
      <c r="Q33">
        <f t="shared" si="1"/>
        <v>573.33000000000004</v>
      </c>
      <c r="U33" t="s">
        <v>138</v>
      </c>
      <c r="V33">
        <f t="shared" si="2"/>
        <v>2.9251530612244898</v>
      </c>
      <c r="AM33" t="s">
        <v>147</v>
      </c>
      <c r="AN33">
        <v>534</v>
      </c>
      <c r="AR33" t="s">
        <v>147</v>
      </c>
      <c r="AS33">
        <f t="shared" si="4"/>
        <v>365</v>
      </c>
      <c r="AV33" t="s">
        <v>147</v>
      </c>
      <c r="AW33">
        <v>1080</v>
      </c>
      <c r="BB33" t="s">
        <v>147</v>
      </c>
      <c r="BC33">
        <f t="shared" si="5"/>
        <v>1011.33</v>
      </c>
      <c r="BE33" s="1" t="s">
        <v>147</v>
      </c>
      <c r="BF33">
        <f t="shared" si="6"/>
        <v>2.7707671232876714</v>
      </c>
      <c r="BR33" t="s">
        <v>205</v>
      </c>
      <c r="BS33">
        <f xml:space="preserve"> BS18</f>
        <v>61.852636269931629</v>
      </c>
      <c r="BT33">
        <f>BT18</f>
        <v>6.122433219100575</v>
      </c>
      <c r="BU33">
        <f>BU18</f>
        <v>2.4994728951769756</v>
      </c>
      <c r="CS33" s="2" t="s">
        <v>138</v>
      </c>
      <c r="CT33" s="3">
        <v>401</v>
      </c>
      <c r="CX33" s="2" t="s">
        <v>138</v>
      </c>
      <c r="CY33">
        <f t="shared" si="9"/>
        <v>226</v>
      </c>
      <c r="DA33" s="2" t="s">
        <v>138</v>
      </c>
      <c r="DB33" s="3">
        <v>1038</v>
      </c>
      <c r="DF33" s="2" t="s">
        <v>138</v>
      </c>
      <c r="DG33">
        <f t="shared" si="10"/>
        <v>965.67</v>
      </c>
      <c r="DR33" s="2" t="s">
        <v>138</v>
      </c>
      <c r="DS33">
        <f t="shared" si="11"/>
        <v>4.2728761061946905</v>
      </c>
    </row>
    <row r="34" spans="1:123" x14ac:dyDescent="0.2">
      <c r="A34" t="s">
        <v>148</v>
      </c>
      <c r="B34">
        <v>346</v>
      </c>
      <c r="G34" t="s">
        <v>148</v>
      </c>
      <c r="H34">
        <f t="shared" si="0"/>
        <v>177</v>
      </c>
      <c r="J34" t="s">
        <v>148</v>
      </c>
      <c r="K34">
        <v>457</v>
      </c>
      <c r="P34" t="s">
        <v>148</v>
      </c>
      <c r="Q34">
        <f t="shared" si="1"/>
        <v>387.33</v>
      </c>
      <c r="U34" t="s">
        <v>148</v>
      </c>
      <c r="V34">
        <f t="shared" si="2"/>
        <v>2.1883050847457626</v>
      </c>
      <c r="AM34" t="s">
        <v>138</v>
      </c>
      <c r="AN34">
        <v>485</v>
      </c>
      <c r="AR34" t="s">
        <v>138</v>
      </c>
      <c r="AS34">
        <f t="shared" si="4"/>
        <v>316</v>
      </c>
      <c r="AV34" t="s">
        <v>138</v>
      </c>
      <c r="AW34">
        <v>1111</v>
      </c>
      <c r="BB34" t="s">
        <v>138</v>
      </c>
      <c r="BC34">
        <f t="shared" si="5"/>
        <v>1042.33</v>
      </c>
      <c r="BE34" s="1" t="s">
        <v>138</v>
      </c>
      <c r="BF34">
        <f t="shared" si="6"/>
        <v>3.2985126582278479</v>
      </c>
      <c r="BR34" t="s">
        <v>198</v>
      </c>
      <c r="BS34">
        <f>BS22</f>
        <v>11.953944274789846</v>
      </c>
      <c r="BT34">
        <f>BT22</f>
        <v>2.733529576150842</v>
      </c>
      <c r="BU34">
        <f>BU22</f>
        <v>1.1159587763959895</v>
      </c>
      <c r="CS34" s="2" t="s">
        <v>148</v>
      </c>
      <c r="CT34" s="3">
        <v>391</v>
      </c>
      <c r="CX34" s="2" t="s">
        <v>148</v>
      </c>
      <c r="CY34">
        <f t="shared" si="9"/>
        <v>216</v>
      </c>
      <c r="DA34" s="2" t="s">
        <v>148</v>
      </c>
      <c r="DB34" s="3">
        <v>768</v>
      </c>
      <c r="DF34" s="2" t="s">
        <v>148</v>
      </c>
      <c r="DG34">
        <f t="shared" si="10"/>
        <v>695.67</v>
      </c>
      <c r="DR34" s="2" t="s">
        <v>148</v>
      </c>
      <c r="DS34">
        <f t="shared" si="11"/>
        <v>3.2206944444444443</v>
      </c>
    </row>
    <row r="35" spans="1:123" x14ac:dyDescent="0.2">
      <c r="A35" t="s">
        <v>149</v>
      </c>
      <c r="B35">
        <v>384</v>
      </c>
      <c r="G35" t="s">
        <v>149</v>
      </c>
      <c r="H35">
        <f t="shared" si="0"/>
        <v>215</v>
      </c>
      <c r="J35" t="s">
        <v>149</v>
      </c>
      <c r="K35">
        <v>559</v>
      </c>
      <c r="P35" t="s">
        <v>149</v>
      </c>
      <c r="Q35">
        <f t="shared" si="1"/>
        <v>489.33</v>
      </c>
      <c r="U35" t="s">
        <v>149</v>
      </c>
      <c r="V35">
        <f t="shared" si="2"/>
        <v>2.2759534883720929</v>
      </c>
      <c r="AK35" t="s">
        <v>216</v>
      </c>
      <c r="AM35" t="s">
        <v>148</v>
      </c>
      <c r="AN35">
        <v>368</v>
      </c>
      <c r="AR35" t="s">
        <v>148</v>
      </c>
      <c r="AS35">
        <f t="shared" si="4"/>
        <v>199</v>
      </c>
      <c r="AV35" t="s">
        <v>148</v>
      </c>
      <c r="AW35">
        <v>557</v>
      </c>
      <c r="BB35" t="s">
        <v>148</v>
      </c>
      <c r="BC35">
        <f t="shared" si="5"/>
        <v>488.33</v>
      </c>
      <c r="BE35" s="1" t="s">
        <v>148</v>
      </c>
      <c r="BF35">
        <f t="shared" si="6"/>
        <v>2.4539195979899495</v>
      </c>
      <c r="BR35" t="s">
        <v>202</v>
      </c>
      <c r="BS35">
        <f>BS26</f>
        <v>1.6043164944453887</v>
      </c>
      <c r="BT35">
        <f>BT26</f>
        <v>0.77261468656346843</v>
      </c>
      <c r="BU35">
        <f>BU26</f>
        <v>0.31541862497680939</v>
      </c>
      <c r="CS35" s="2" t="s">
        <v>149</v>
      </c>
      <c r="CT35" s="3">
        <v>338</v>
      </c>
      <c r="CX35" s="2" t="s">
        <v>149</v>
      </c>
      <c r="CY35">
        <f t="shared" si="9"/>
        <v>163</v>
      </c>
      <c r="DA35" s="2" t="s">
        <v>149</v>
      </c>
      <c r="DB35" s="3">
        <v>666</v>
      </c>
      <c r="DF35" s="2" t="s">
        <v>149</v>
      </c>
      <c r="DG35">
        <f t="shared" si="10"/>
        <v>593.66999999999996</v>
      </c>
      <c r="DR35" s="2" t="s">
        <v>149</v>
      </c>
      <c r="DS35">
        <f t="shared" si="11"/>
        <v>3.6421472392638035</v>
      </c>
    </row>
    <row r="36" spans="1:123" x14ac:dyDescent="0.2">
      <c r="A36" t="s">
        <v>150</v>
      </c>
      <c r="B36">
        <v>408</v>
      </c>
      <c r="G36" t="s">
        <v>150</v>
      </c>
      <c r="H36">
        <f t="shared" si="0"/>
        <v>239</v>
      </c>
      <c r="J36" t="s">
        <v>150</v>
      </c>
      <c r="K36">
        <v>826</v>
      </c>
      <c r="P36" t="s">
        <v>150</v>
      </c>
      <c r="Q36">
        <f t="shared" si="1"/>
        <v>756.33</v>
      </c>
      <c r="U36" t="s">
        <v>150</v>
      </c>
      <c r="V36">
        <f t="shared" si="2"/>
        <v>3.1645606694560673</v>
      </c>
      <c r="AM36" t="s">
        <v>149</v>
      </c>
      <c r="AN36">
        <v>547</v>
      </c>
      <c r="AR36" t="s">
        <v>149</v>
      </c>
      <c r="AS36">
        <f t="shared" si="4"/>
        <v>378</v>
      </c>
      <c r="AV36" t="s">
        <v>149</v>
      </c>
      <c r="AW36">
        <v>1058</v>
      </c>
      <c r="BB36" t="s">
        <v>149</v>
      </c>
      <c r="BC36">
        <f t="shared" si="5"/>
        <v>989.33</v>
      </c>
      <c r="BE36" s="1" t="s">
        <v>149</v>
      </c>
      <c r="BF36">
        <f t="shared" si="6"/>
        <v>2.6172751322751324</v>
      </c>
      <c r="BR36" t="s">
        <v>118</v>
      </c>
      <c r="BS36">
        <f>BS17</f>
        <v>63.947620475894617</v>
      </c>
      <c r="BT36">
        <f>BT17</f>
        <v>6.7587236557142436</v>
      </c>
      <c r="BU36">
        <f>BU17</f>
        <v>2.7592373781630108</v>
      </c>
      <c r="CS36" s="2" t="s">
        <v>150</v>
      </c>
      <c r="CT36" s="3">
        <v>437</v>
      </c>
      <c r="CX36" s="2" t="s">
        <v>150</v>
      </c>
      <c r="CY36">
        <f t="shared" si="9"/>
        <v>262</v>
      </c>
      <c r="DA36" s="2" t="s">
        <v>150</v>
      </c>
      <c r="DB36" s="3">
        <v>1110</v>
      </c>
      <c r="DF36" s="2" t="s">
        <v>150</v>
      </c>
      <c r="DG36">
        <f t="shared" si="10"/>
        <v>1037.67</v>
      </c>
      <c r="DR36" s="2" t="s">
        <v>150</v>
      </c>
      <c r="DS36">
        <f t="shared" si="11"/>
        <v>3.9605725190839696</v>
      </c>
    </row>
    <row r="37" spans="1:123" x14ac:dyDescent="0.2">
      <c r="A37" t="s">
        <v>151</v>
      </c>
      <c r="B37">
        <v>165</v>
      </c>
      <c r="G37" t="s">
        <v>151</v>
      </c>
      <c r="H37">
        <f t="shared" si="0"/>
        <v>-4</v>
      </c>
      <c r="J37" t="s">
        <v>151</v>
      </c>
      <c r="K37">
        <v>69</v>
      </c>
      <c r="P37" t="s">
        <v>151</v>
      </c>
      <c r="Q37">
        <f t="shared" si="1"/>
        <v>-0.67000000000000171</v>
      </c>
      <c r="U37" t="s">
        <v>151</v>
      </c>
      <c r="V37">
        <f t="shared" si="2"/>
        <v>0.16750000000000043</v>
      </c>
      <c r="AM37" t="s">
        <v>150</v>
      </c>
      <c r="AN37">
        <v>389</v>
      </c>
      <c r="AR37" t="s">
        <v>150</v>
      </c>
      <c r="AS37">
        <f t="shared" si="4"/>
        <v>220</v>
      </c>
      <c r="AV37" t="s">
        <v>150</v>
      </c>
      <c r="AW37">
        <v>638</v>
      </c>
      <c r="BB37" t="s">
        <v>150</v>
      </c>
      <c r="BC37">
        <f t="shared" si="5"/>
        <v>569.33000000000004</v>
      </c>
      <c r="BE37" s="1" t="s">
        <v>150</v>
      </c>
      <c r="BF37">
        <f t="shared" si="6"/>
        <v>2.5878636363636365</v>
      </c>
      <c r="BR37" t="s">
        <v>196</v>
      </c>
      <c r="BS37">
        <f>BS21</f>
        <v>34.762411161679005</v>
      </c>
      <c r="BT37">
        <f>BT21</f>
        <v>6.1174452612256278</v>
      </c>
      <c r="BU37">
        <f>BU21</f>
        <v>2.7358046905468925</v>
      </c>
      <c r="CS37" s="2" t="s">
        <v>151</v>
      </c>
      <c r="CT37" s="3">
        <v>158</v>
      </c>
      <c r="CX37" s="2" t="s">
        <v>151</v>
      </c>
      <c r="CY37">
        <f t="shared" si="9"/>
        <v>-17</v>
      </c>
      <c r="DA37" s="2" t="s">
        <v>151</v>
      </c>
      <c r="DB37" s="3">
        <v>71</v>
      </c>
      <c r="DF37" s="2" t="s">
        <v>151</v>
      </c>
      <c r="DG37">
        <f t="shared" si="10"/>
        <v>-1.3299999999999983</v>
      </c>
      <c r="DR37" s="2" t="s">
        <v>151</v>
      </c>
      <c r="DS37">
        <f t="shared" si="11"/>
        <v>7.8235294117646959E-2</v>
      </c>
    </row>
    <row r="38" spans="1:123" x14ac:dyDescent="0.2">
      <c r="A38" t="s">
        <v>152</v>
      </c>
      <c r="B38">
        <v>498</v>
      </c>
      <c r="G38" t="s">
        <v>152</v>
      </c>
      <c r="H38">
        <f t="shared" si="0"/>
        <v>329</v>
      </c>
      <c r="J38" t="s">
        <v>152</v>
      </c>
      <c r="K38">
        <v>20314</v>
      </c>
      <c r="P38" t="s">
        <v>152</v>
      </c>
      <c r="Q38">
        <f t="shared" si="1"/>
        <v>20244.330000000002</v>
      </c>
      <c r="U38" t="s">
        <v>152</v>
      </c>
      <c r="V38">
        <f t="shared" si="2"/>
        <v>61.532917933130705</v>
      </c>
      <c r="AM38" t="s">
        <v>151</v>
      </c>
      <c r="AN38">
        <v>176</v>
      </c>
      <c r="AR38" t="s">
        <v>151</v>
      </c>
      <c r="AS38">
        <f t="shared" si="4"/>
        <v>7</v>
      </c>
      <c r="AV38" t="s">
        <v>151</v>
      </c>
      <c r="AW38">
        <v>69</v>
      </c>
      <c r="BB38" t="s">
        <v>151</v>
      </c>
      <c r="BC38">
        <f t="shared" si="5"/>
        <v>0.32999999999999829</v>
      </c>
      <c r="BE38" s="1" t="s">
        <v>151</v>
      </c>
      <c r="BF38">
        <f t="shared" si="6"/>
        <v>4.7142857142856896E-2</v>
      </c>
      <c r="BR38" t="s">
        <v>201</v>
      </c>
      <c r="BS38">
        <f>BS25</f>
        <v>2.7253701610088723</v>
      </c>
      <c r="BT38">
        <f>BT25</f>
        <v>1.4811549907971009</v>
      </c>
      <c r="BU38">
        <f>BU25</f>
        <v>0.60467899290493521</v>
      </c>
      <c r="CS38" s="2" t="s">
        <v>152</v>
      </c>
      <c r="CT38" s="3">
        <v>392</v>
      </c>
      <c r="CX38" s="2" t="s">
        <v>152</v>
      </c>
      <c r="CY38">
        <f t="shared" si="9"/>
        <v>217</v>
      </c>
      <c r="DA38" s="2" t="s">
        <v>152</v>
      </c>
      <c r="DB38" s="3">
        <v>16125</v>
      </c>
      <c r="DF38" s="2" t="s">
        <v>152</v>
      </c>
      <c r="DG38">
        <f t="shared" si="10"/>
        <v>16052.67</v>
      </c>
      <c r="DR38" s="2" t="s">
        <v>152</v>
      </c>
      <c r="DS38">
        <f t="shared" si="11"/>
        <v>73.975437788018439</v>
      </c>
    </row>
    <row r="39" spans="1:123" x14ac:dyDescent="0.2">
      <c r="A39" t="s">
        <v>154</v>
      </c>
      <c r="B39">
        <v>313</v>
      </c>
      <c r="G39" t="s">
        <v>154</v>
      </c>
      <c r="H39">
        <f t="shared" si="0"/>
        <v>144</v>
      </c>
      <c r="J39" t="s">
        <v>154</v>
      </c>
      <c r="K39">
        <v>596</v>
      </c>
      <c r="P39" t="s">
        <v>154</v>
      </c>
      <c r="Q39">
        <f t="shared" si="1"/>
        <v>526.33000000000004</v>
      </c>
      <c r="U39" t="s">
        <v>154</v>
      </c>
      <c r="V39">
        <f t="shared" si="2"/>
        <v>3.6550694444444449</v>
      </c>
      <c r="AM39" t="s">
        <v>152</v>
      </c>
      <c r="AN39">
        <v>398</v>
      </c>
      <c r="AR39" t="s">
        <v>152</v>
      </c>
      <c r="AS39">
        <f t="shared" si="4"/>
        <v>229</v>
      </c>
      <c r="AV39" t="s">
        <v>152</v>
      </c>
      <c r="AW39">
        <v>16353</v>
      </c>
      <c r="BB39" t="s">
        <v>152</v>
      </c>
      <c r="BC39">
        <f t="shared" si="5"/>
        <v>16284.33</v>
      </c>
      <c r="BE39" s="1" t="s">
        <v>152</v>
      </c>
      <c r="BF39">
        <f t="shared" si="6"/>
        <v>71.110611353711789</v>
      </c>
      <c r="BR39" t="s">
        <v>207</v>
      </c>
      <c r="BS39">
        <f>BS20</f>
        <v>2.5479796015337732</v>
      </c>
      <c r="BT39">
        <f>BT20</f>
        <v>0.34605666260612267</v>
      </c>
      <c r="BU39">
        <f>BU20</f>
        <v>0.14127704091257942</v>
      </c>
      <c r="CP39" t="s">
        <v>239</v>
      </c>
      <c r="CS39" s="2" t="s">
        <v>154</v>
      </c>
      <c r="CT39" s="3">
        <v>295</v>
      </c>
      <c r="CX39" s="2" t="s">
        <v>154</v>
      </c>
      <c r="CY39">
        <f t="shared" si="9"/>
        <v>120</v>
      </c>
      <c r="DA39" s="2" t="s">
        <v>154</v>
      </c>
      <c r="DB39" s="3">
        <v>766</v>
      </c>
      <c r="DF39" s="2" t="s">
        <v>154</v>
      </c>
      <c r="DG39">
        <f t="shared" si="10"/>
        <v>693.67</v>
      </c>
      <c r="DR39" s="2" t="s">
        <v>154</v>
      </c>
      <c r="DS39">
        <f t="shared" si="11"/>
        <v>5.7805833333333334</v>
      </c>
    </row>
    <row r="40" spans="1:123" x14ac:dyDescent="0.2">
      <c r="A40" t="s">
        <v>155</v>
      </c>
      <c r="B40">
        <v>353</v>
      </c>
      <c r="G40" t="s">
        <v>155</v>
      </c>
      <c r="H40">
        <f t="shared" si="0"/>
        <v>184</v>
      </c>
      <c r="J40" t="s">
        <v>155</v>
      </c>
      <c r="K40">
        <v>516</v>
      </c>
      <c r="P40" t="s">
        <v>155</v>
      </c>
      <c r="Q40">
        <f t="shared" si="1"/>
        <v>446.33</v>
      </c>
      <c r="U40" t="s">
        <v>155</v>
      </c>
      <c r="V40">
        <f t="shared" si="2"/>
        <v>2.4257065217391305</v>
      </c>
      <c r="AM40" t="s">
        <v>154</v>
      </c>
      <c r="AN40">
        <v>314</v>
      </c>
      <c r="AR40" t="s">
        <v>154</v>
      </c>
      <c r="AS40">
        <f t="shared" si="4"/>
        <v>145</v>
      </c>
      <c r="AV40" t="s">
        <v>154</v>
      </c>
      <c r="AW40">
        <v>659</v>
      </c>
      <c r="BB40" t="s">
        <v>154</v>
      </c>
      <c r="BC40">
        <f t="shared" si="5"/>
        <v>590.33000000000004</v>
      </c>
      <c r="BE40" s="1" t="s">
        <v>154</v>
      </c>
      <c r="BF40">
        <f t="shared" si="6"/>
        <v>4.0712413793103455</v>
      </c>
      <c r="BR40" t="s">
        <v>200</v>
      </c>
      <c r="BS40">
        <f>BS24</f>
        <v>2.556620094925929</v>
      </c>
      <c r="BT40">
        <f>BT24</f>
        <v>0.75779771844224275</v>
      </c>
      <c r="BU40">
        <f>BU24</f>
        <v>0.30936962307146143</v>
      </c>
      <c r="CS40" s="2" t="s">
        <v>155</v>
      </c>
      <c r="CT40" s="3">
        <v>292</v>
      </c>
      <c r="CX40" s="2" t="s">
        <v>155</v>
      </c>
      <c r="CY40">
        <f t="shared" si="9"/>
        <v>117</v>
      </c>
      <c r="DA40" s="2" t="s">
        <v>155</v>
      </c>
      <c r="DB40" s="3">
        <v>640</v>
      </c>
      <c r="DF40" s="2" t="s">
        <v>155</v>
      </c>
      <c r="DG40">
        <f t="shared" si="10"/>
        <v>567.66999999999996</v>
      </c>
      <c r="DR40" s="2" t="s">
        <v>155</v>
      </c>
      <c r="DS40">
        <f t="shared" si="11"/>
        <v>4.8518803418803413</v>
      </c>
    </row>
    <row r="41" spans="1:123" x14ac:dyDescent="0.2">
      <c r="A41" t="s">
        <v>156</v>
      </c>
      <c r="B41">
        <v>388</v>
      </c>
      <c r="G41" t="s">
        <v>156</v>
      </c>
      <c r="H41">
        <f t="shared" si="0"/>
        <v>219</v>
      </c>
      <c r="J41" t="s">
        <v>156</v>
      </c>
      <c r="K41">
        <v>224</v>
      </c>
      <c r="P41" t="s">
        <v>156</v>
      </c>
      <c r="Q41">
        <f t="shared" si="1"/>
        <v>154.32999999999998</v>
      </c>
      <c r="U41" t="s">
        <v>156</v>
      </c>
      <c r="V41">
        <f t="shared" si="2"/>
        <v>0.70470319634703193</v>
      </c>
      <c r="AM41" t="s">
        <v>155</v>
      </c>
      <c r="AN41">
        <v>302</v>
      </c>
      <c r="AR41" t="s">
        <v>155</v>
      </c>
      <c r="AS41">
        <f t="shared" si="4"/>
        <v>133</v>
      </c>
      <c r="AV41" t="s">
        <v>155</v>
      </c>
      <c r="AW41">
        <v>625</v>
      </c>
      <c r="BB41" t="s">
        <v>155</v>
      </c>
      <c r="BC41">
        <f t="shared" si="5"/>
        <v>556.33000000000004</v>
      </c>
      <c r="BE41" s="1" t="s">
        <v>155</v>
      </c>
      <c r="BF41">
        <f t="shared" si="6"/>
        <v>4.1829323308270681</v>
      </c>
      <c r="BR41" t="s">
        <v>204</v>
      </c>
      <c r="BS41">
        <f>BS28</f>
        <v>0.94252674653718749</v>
      </c>
      <c r="BT41">
        <f>BT28</f>
        <v>0.3490389268929267</v>
      </c>
      <c r="BU41">
        <f>BU28</f>
        <v>0.1424945452093786</v>
      </c>
      <c r="CS41" s="2" t="s">
        <v>156</v>
      </c>
      <c r="CT41" s="3">
        <v>420</v>
      </c>
      <c r="CX41" s="2" t="s">
        <v>156</v>
      </c>
      <c r="CY41">
        <f t="shared" si="9"/>
        <v>245</v>
      </c>
      <c r="DA41" s="2" t="s">
        <v>156</v>
      </c>
      <c r="DB41" s="3">
        <v>465</v>
      </c>
      <c r="DF41" s="2" t="s">
        <v>156</v>
      </c>
      <c r="DG41">
        <f t="shared" si="10"/>
        <v>392.67</v>
      </c>
      <c r="DR41" s="2" t="s">
        <v>156</v>
      </c>
      <c r="DS41">
        <f t="shared" si="11"/>
        <v>1.6027346938775511</v>
      </c>
    </row>
    <row r="42" spans="1:123" x14ac:dyDescent="0.2">
      <c r="A42" t="s">
        <v>157</v>
      </c>
      <c r="B42">
        <v>390</v>
      </c>
      <c r="G42" t="s">
        <v>157</v>
      </c>
      <c r="H42">
        <f t="shared" si="0"/>
        <v>221</v>
      </c>
      <c r="J42" t="s">
        <v>157</v>
      </c>
      <c r="K42">
        <v>13217</v>
      </c>
      <c r="P42" t="s">
        <v>157</v>
      </c>
      <c r="Q42">
        <f t="shared" si="1"/>
        <v>13147.33</v>
      </c>
      <c r="U42" t="s">
        <v>157</v>
      </c>
      <c r="V42">
        <f t="shared" si="2"/>
        <v>59.490180995475114</v>
      </c>
      <c r="AM42" t="s">
        <v>156</v>
      </c>
      <c r="AN42">
        <v>426</v>
      </c>
      <c r="AR42" t="s">
        <v>156</v>
      </c>
      <c r="AS42">
        <f t="shared" si="4"/>
        <v>257</v>
      </c>
      <c r="AV42" t="s">
        <v>156</v>
      </c>
      <c r="AW42">
        <v>406</v>
      </c>
      <c r="BB42" t="s">
        <v>156</v>
      </c>
      <c r="BC42">
        <f t="shared" si="5"/>
        <v>337.33</v>
      </c>
      <c r="BE42" s="1" t="s">
        <v>156</v>
      </c>
      <c r="BF42">
        <f t="shared" si="6"/>
        <v>1.312568093385214</v>
      </c>
      <c r="BR42" t="s">
        <v>206</v>
      </c>
      <c r="BS42">
        <f>BS19</f>
        <v>56.485020786015546</v>
      </c>
      <c r="BT42">
        <f>BT19</f>
        <v>3.1977866716716434</v>
      </c>
      <c r="BU42">
        <f>BU19</f>
        <v>1.3054909419780749</v>
      </c>
      <c r="CS42" s="2" t="s">
        <v>157</v>
      </c>
      <c r="CT42" s="3">
        <v>390</v>
      </c>
      <c r="CX42" s="2" t="s">
        <v>157</v>
      </c>
      <c r="CY42">
        <f t="shared" si="9"/>
        <v>215</v>
      </c>
      <c r="DA42" s="2" t="s">
        <v>157</v>
      </c>
      <c r="DB42" s="3">
        <v>16106</v>
      </c>
      <c r="DF42" s="2" t="s">
        <v>157</v>
      </c>
      <c r="DG42">
        <f t="shared" si="10"/>
        <v>16033.67</v>
      </c>
      <c r="DR42" s="2" t="s">
        <v>157</v>
      </c>
      <c r="DS42">
        <f t="shared" si="11"/>
        <v>74.575209302325575</v>
      </c>
    </row>
    <row r="43" spans="1:123" x14ac:dyDescent="0.2">
      <c r="A43" t="s">
        <v>158</v>
      </c>
      <c r="B43">
        <v>167</v>
      </c>
      <c r="G43" t="s">
        <v>158</v>
      </c>
      <c r="H43">
        <f t="shared" si="0"/>
        <v>-2</v>
      </c>
      <c r="J43" t="s">
        <v>158</v>
      </c>
      <c r="K43">
        <v>451</v>
      </c>
      <c r="P43" t="s">
        <v>158</v>
      </c>
      <c r="Q43">
        <f t="shared" si="1"/>
        <v>381.33</v>
      </c>
      <c r="U43" t="s">
        <v>158</v>
      </c>
      <c r="V43">
        <f t="shared" si="2"/>
        <v>-190.66499999999999</v>
      </c>
      <c r="AM43" t="s">
        <v>157</v>
      </c>
      <c r="AN43">
        <v>413</v>
      </c>
      <c r="AR43" t="s">
        <v>157</v>
      </c>
      <c r="AS43">
        <f t="shared" si="4"/>
        <v>244</v>
      </c>
      <c r="AV43" t="s">
        <v>157</v>
      </c>
      <c r="AW43">
        <v>18611</v>
      </c>
      <c r="BB43" t="s">
        <v>157</v>
      </c>
      <c r="BC43">
        <f t="shared" si="5"/>
        <v>18542.330000000002</v>
      </c>
      <c r="BE43" s="1" t="s">
        <v>157</v>
      </c>
      <c r="BF43">
        <f t="shared" si="6"/>
        <v>75.993155737704924</v>
      </c>
      <c r="BR43" t="s">
        <v>199</v>
      </c>
      <c r="BS43">
        <f>BS23</f>
        <v>39.024274563716283</v>
      </c>
      <c r="BT43">
        <f>BT23</f>
        <v>4.8031485802300091</v>
      </c>
      <c r="BU43">
        <f>BU23</f>
        <v>1.9608771967228322</v>
      </c>
      <c r="CS43" s="2" t="s">
        <v>158</v>
      </c>
      <c r="CT43" s="3">
        <v>175</v>
      </c>
      <c r="CX43" s="2" t="s">
        <v>158</v>
      </c>
      <c r="CY43">
        <f t="shared" si="9"/>
        <v>0</v>
      </c>
      <c r="DA43" s="2" t="s">
        <v>158</v>
      </c>
      <c r="DB43" s="3">
        <v>482</v>
      </c>
      <c r="DF43" s="2" t="s">
        <v>158</v>
      </c>
      <c r="DG43">
        <f t="shared" si="10"/>
        <v>409.67</v>
      </c>
      <c r="DR43" s="2" t="s">
        <v>158</v>
      </c>
      <c r="DS43" t="e">
        <f t="shared" si="11"/>
        <v>#DIV/0!</v>
      </c>
    </row>
    <row r="44" spans="1:123" x14ac:dyDescent="0.2">
      <c r="A44" t="s">
        <v>159</v>
      </c>
      <c r="B44">
        <v>154</v>
      </c>
      <c r="G44" t="s">
        <v>159</v>
      </c>
      <c r="H44">
        <f t="shared" si="0"/>
        <v>-15</v>
      </c>
      <c r="J44" t="s">
        <v>159</v>
      </c>
      <c r="K44">
        <v>288</v>
      </c>
      <c r="P44" t="s">
        <v>159</v>
      </c>
      <c r="Q44">
        <f t="shared" si="1"/>
        <v>218.32999999999998</v>
      </c>
      <c r="U44" t="s">
        <v>159</v>
      </c>
      <c r="V44">
        <f t="shared" si="2"/>
        <v>-14.555333333333332</v>
      </c>
      <c r="AM44" t="s">
        <v>158</v>
      </c>
      <c r="AN44">
        <v>161</v>
      </c>
      <c r="AR44" t="s">
        <v>158</v>
      </c>
      <c r="AS44">
        <f t="shared" si="4"/>
        <v>-8</v>
      </c>
      <c r="AV44" t="s">
        <v>158</v>
      </c>
      <c r="AW44">
        <v>486</v>
      </c>
      <c r="BB44" t="s">
        <v>158</v>
      </c>
      <c r="BC44">
        <f t="shared" si="5"/>
        <v>417.33</v>
      </c>
      <c r="BE44" s="1" t="s">
        <v>158</v>
      </c>
      <c r="BF44">
        <f t="shared" si="6"/>
        <v>-52.166249999999998</v>
      </c>
      <c r="BR44" t="s">
        <v>203</v>
      </c>
      <c r="BS44">
        <f>BS27</f>
        <v>3.9322532394115286</v>
      </c>
      <c r="BT44">
        <f>BT27</f>
        <v>1.0578590805906085</v>
      </c>
      <c r="BU44">
        <f>BU27</f>
        <v>0.43186916120278984</v>
      </c>
      <c r="CS44" s="2" t="s">
        <v>159</v>
      </c>
      <c r="CT44" s="3">
        <v>168</v>
      </c>
      <c r="CX44" s="2" t="s">
        <v>159</v>
      </c>
      <c r="CY44">
        <f t="shared" si="9"/>
        <v>-7</v>
      </c>
      <c r="DA44" s="2" t="s">
        <v>159</v>
      </c>
      <c r="DB44" s="3">
        <v>330</v>
      </c>
      <c r="DF44" s="2" t="s">
        <v>159</v>
      </c>
      <c r="DG44">
        <f t="shared" si="10"/>
        <v>257.67</v>
      </c>
      <c r="DR44" s="2" t="s">
        <v>159</v>
      </c>
      <c r="DS44">
        <f t="shared" si="11"/>
        <v>-36.81</v>
      </c>
    </row>
    <row r="45" spans="1:123" x14ac:dyDescent="0.2">
      <c r="A45" t="s">
        <v>160</v>
      </c>
      <c r="B45">
        <v>167</v>
      </c>
      <c r="G45" t="s">
        <v>160</v>
      </c>
      <c r="H45">
        <f t="shared" si="0"/>
        <v>-2</v>
      </c>
      <c r="J45" t="s">
        <v>160</v>
      </c>
      <c r="K45">
        <v>438</v>
      </c>
      <c r="P45" t="s">
        <v>160</v>
      </c>
      <c r="Q45">
        <f t="shared" si="1"/>
        <v>368.33</v>
      </c>
      <c r="U45" t="s">
        <v>160</v>
      </c>
      <c r="V45">
        <f t="shared" si="2"/>
        <v>-184.16499999999999</v>
      </c>
      <c r="AM45" t="s">
        <v>159</v>
      </c>
      <c r="AN45">
        <v>164</v>
      </c>
      <c r="AR45" t="s">
        <v>159</v>
      </c>
      <c r="AS45">
        <f t="shared" si="4"/>
        <v>-5</v>
      </c>
      <c r="AV45" t="s">
        <v>159</v>
      </c>
      <c r="AW45">
        <v>458</v>
      </c>
      <c r="BB45" t="s">
        <v>159</v>
      </c>
      <c r="BC45">
        <f t="shared" si="5"/>
        <v>389.33</v>
      </c>
      <c r="BE45" s="1" t="s">
        <v>159</v>
      </c>
      <c r="BF45">
        <f t="shared" si="6"/>
        <v>-77.866</v>
      </c>
      <c r="CS45" s="2" t="s">
        <v>160</v>
      </c>
      <c r="CT45" s="3">
        <v>179</v>
      </c>
      <c r="CX45" s="2" t="s">
        <v>160</v>
      </c>
      <c r="CY45">
        <f t="shared" si="9"/>
        <v>4</v>
      </c>
      <c r="DA45" s="2" t="s">
        <v>160</v>
      </c>
      <c r="DB45" s="3">
        <v>411</v>
      </c>
      <c r="DF45" s="2" t="s">
        <v>160</v>
      </c>
      <c r="DG45">
        <f t="shared" si="10"/>
        <v>338.67</v>
      </c>
      <c r="DR45" s="2" t="s">
        <v>160</v>
      </c>
      <c r="DS45">
        <f t="shared" si="11"/>
        <v>84.667500000000004</v>
      </c>
    </row>
    <row r="46" spans="1:123" x14ac:dyDescent="0.2">
      <c r="A46" t="s">
        <v>161</v>
      </c>
      <c r="B46">
        <v>429</v>
      </c>
      <c r="G46" t="s">
        <v>161</v>
      </c>
      <c r="H46">
        <f t="shared" si="0"/>
        <v>260</v>
      </c>
      <c r="J46" t="s">
        <v>161</v>
      </c>
      <c r="K46">
        <v>17473</v>
      </c>
      <c r="P46" t="s">
        <v>161</v>
      </c>
      <c r="Q46">
        <f t="shared" si="1"/>
        <v>17403.330000000002</v>
      </c>
      <c r="U46" t="s">
        <v>161</v>
      </c>
      <c r="V46">
        <f t="shared" si="2"/>
        <v>66.935884615384623</v>
      </c>
      <c r="AM46" t="s">
        <v>160</v>
      </c>
      <c r="AN46">
        <v>162</v>
      </c>
      <c r="AR46" t="s">
        <v>160</v>
      </c>
      <c r="AS46">
        <f t="shared" si="4"/>
        <v>-7</v>
      </c>
      <c r="AV46" t="s">
        <v>160</v>
      </c>
      <c r="AW46">
        <v>346</v>
      </c>
      <c r="BB46" t="s">
        <v>160</v>
      </c>
      <c r="BC46">
        <f t="shared" si="5"/>
        <v>277.33</v>
      </c>
      <c r="BE46" s="1" t="s">
        <v>160</v>
      </c>
      <c r="BF46">
        <f t="shared" si="6"/>
        <v>-39.618571428571428</v>
      </c>
      <c r="CS46" s="2" t="s">
        <v>161</v>
      </c>
      <c r="CT46" s="3">
        <v>397</v>
      </c>
      <c r="CX46" s="2" t="s">
        <v>161</v>
      </c>
      <c r="CY46">
        <f t="shared" si="9"/>
        <v>222</v>
      </c>
      <c r="DA46" s="2" t="s">
        <v>161</v>
      </c>
      <c r="DB46" s="3">
        <v>14292</v>
      </c>
      <c r="DF46" s="2" t="s">
        <v>161</v>
      </c>
      <c r="DG46">
        <f t="shared" si="10"/>
        <v>14219.67</v>
      </c>
      <c r="DR46" s="2" t="s">
        <v>161</v>
      </c>
      <c r="DS46">
        <f t="shared" si="11"/>
        <v>64.052567567567564</v>
      </c>
    </row>
    <row r="47" spans="1:123" x14ac:dyDescent="0.2">
      <c r="A47" t="s">
        <v>162</v>
      </c>
      <c r="B47">
        <v>165</v>
      </c>
      <c r="G47" t="s">
        <v>162</v>
      </c>
      <c r="H47">
        <f t="shared" si="0"/>
        <v>-4</v>
      </c>
      <c r="J47" t="s">
        <v>162</v>
      </c>
      <c r="K47">
        <v>498</v>
      </c>
      <c r="P47" t="s">
        <v>162</v>
      </c>
      <c r="Q47">
        <f t="shared" si="1"/>
        <v>428.33</v>
      </c>
      <c r="U47" t="s">
        <v>162</v>
      </c>
      <c r="V47">
        <f t="shared" si="2"/>
        <v>-107.0825</v>
      </c>
      <c r="AM47" t="s">
        <v>161</v>
      </c>
      <c r="AN47">
        <v>430</v>
      </c>
      <c r="AR47" t="s">
        <v>161</v>
      </c>
      <c r="AS47">
        <f t="shared" si="4"/>
        <v>261</v>
      </c>
      <c r="AV47" t="s">
        <v>161</v>
      </c>
      <c r="AW47">
        <v>17853</v>
      </c>
      <c r="BB47" t="s">
        <v>161</v>
      </c>
      <c r="BC47">
        <f t="shared" si="5"/>
        <v>17784.330000000002</v>
      </c>
      <c r="BE47" s="1" t="s">
        <v>161</v>
      </c>
      <c r="BF47">
        <f t="shared" si="6"/>
        <v>68.139195402298853</v>
      </c>
      <c r="CS47" s="2" t="s">
        <v>162</v>
      </c>
      <c r="CT47" s="3">
        <v>157</v>
      </c>
      <c r="CX47" s="2" t="s">
        <v>162</v>
      </c>
      <c r="CY47">
        <f t="shared" si="9"/>
        <v>-18</v>
      </c>
      <c r="DA47" s="2" t="s">
        <v>162</v>
      </c>
      <c r="DB47" s="3">
        <v>578</v>
      </c>
      <c r="DF47" s="2" t="s">
        <v>162</v>
      </c>
      <c r="DG47">
        <f t="shared" si="10"/>
        <v>505.67</v>
      </c>
      <c r="DR47" s="2" t="s">
        <v>162</v>
      </c>
      <c r="DS47">
        <f t="shared" si="11"/>
        <v>-28.09277777777778</v>
      </c>
    </row>
    <row r="48" spans="1:123" x14ac:dyDescent="0.2">
      <c r="A48" t="s">
        <v>163</v>
      </c>
      <c r="B48">
        <v>336</v>
      </c>
      <c r="G48" t="s">
        <v>163</v>
      </c>
      <c r="H48">
        <f t="shared" si="0"/>
        <v>167</v>
      </c>
      <c r="J48" t="s">
        <v>163</v>
      </c>
      <c r="K48">
        <v>528</v>
      </c>
      <c r="P48" t="s">
        <v>163</v>
      </c>
      <c r="Q48">
        <f t="shared" si="1"/>
        <v>458.33</v>
      </c>
      <c r="U48" t="s">
        <v>163</v>
      </c>
      <c r="V48">
        <f t="shared" si="2"/>
        <v>2.7444910179640716</v>
      </c>
      <c r="AM48" t="s">
        <v>162</v>
      </c>
      <c r="AN48">
        <v>155</v>
      </c>
      <c r="AR48" t="s">
        <v>162</v>
      </c>
      <c r="AS48">
        <f t="shared" si="4"/>
        <v>-14</v>
      </c>
      <c r="AV48" t="s">
        <v>162</v>
      </c>
      <c r="AW48">
        <v>756</v>
      </c>
      <c r="BB48" t="s">
        <v>162</v>
      </c>
      <c r="BC48">
        <f t="shared" si="5"/>
        <v>687.33</v>
      </c>
      <c r="BE48" s="1" t="s">
        <v>162</v>
      </c>
      <c r="BF48">
        <f t="shared" si="6"/>
        <v>-49.095000000000006</v>
      </c>
      <c r="CS48" s="2" t="s">
        <v>163</v>
      </c>
      <c r="CT48" s="3">
        <v>292</v>
      </c>
      <c r="CX48" s="2" t="s">
        <v>163</v>
      </c>
      <c r="CY48">
        <f t="shared" si="9"/>
        <v>117</v>
      </c>
      <c r="DA48" s="2" t="s">
        <v>163</v>
      </c>
      <c r="DB48" s="3">
        <v>778</v>
      </c>
      <c r="DF48" s="2" t="s">
        <v>163</v>
      </c>
      <c r="DG48">
        <f t="shared" si="10"/>
        <v>705.67</v>
      </c>
      <c r="DR48" s="2" t="s">
        <v>163</v>
      </c>
      <c r="DS48">
        <f t="shared" si="11"/>
        <v>6.0313675213675211</v>
      </c>
    </row>
    <row r="49" spans="1:123" x14ac:dyDescent="0.2">
      <c r="A49" t="s">
        <v>164</v>
      </c>
      <c r="B49">
        <v>386</v>
      </c>
      <c r="G49" t="s">
        <v>164</v>
      </c>
      <c r="H49">
        <f t="shared" si="0"/>
        <v>217</v>
      </c>
      <c r="J49" t="s">
        <v>164</v>
      </c>
      <c r="K49">
        <v>805</v>
      </c>
      <c r="P49" t="s">
        <v>164</v>
      </c>
      <c r="Q49">
        <f t="shared" si="1"/>
        <v>735.33</v>
      </c>
      <c r="U49" t="s">
        <v>164</v>
      </c>
      <c r="V49">
        <f t="shared" si="2"/>
        <v>3.3886175115207373</v>
      </c>
      <c r="AM49" t="s">
        <v>163</v>
      </c>
      <c r="AN49">
        <v>352</v>
      </c>
      <c r="AR49" t="s">
        <v>163</v>
      </c>
      <c r="AS49">
        <f t="shared" si="4"/>
        <v>183</v>
      </c>
      <c r="AV49" t="s">
        <v>163</v>
      </c>
      <c r="AW49">
        <v>1034</v>
      </c>
      <c r="BB49" t="s">
        <v>163</v>
      </c>
      <c r="BC49">
        <f t="shared" si="5"/>
        <v>965.33</v>
      </c>
      <c r="BE49" s="1" t="s">
        <v>163</v>
      </c>
      <c r="BF49">
        <f t="shared" si="6"/>
        <v>5.2750273224043722</v>
      </c>
      <c r="CP49" t="s">
        <v>239</v>
      </c>
      <c r="CS49" s="2" t="s">
        <v>164</v>
      </c>
      <c r="CT49" s="3">
        <v>308</v>
      </c>
      <c r="CX49" s="2" t="s">
        <v>164</v>
      </c>
      <c r="CY49">
        <f t="shared" si="9"/>
        <v>133</v>
      </c>
      <c r="DA49" s="2" t="s">
        <v>164</v>
      </c>
      <c r="DB49" s="3">
        <v>767</v>
      </c>
      <c r="DF49" s="2" t="s">
        <v>164</v>
      </c>
      <c r="DG49">
        <f t="shared" si="10"/>
        <v>694.67</v>
      </c>
      <c r="DR49" s="2" t="s">
        <v>164</v>
      </c>
      <c r="DS49">
        <f t="shared" si="11"/>
        <v>5.2230827067669168</v>
      </c>
    </row>
    <row r="50" spans="1:123" x14ac:dyDescent="0.2">
      <c r="A50" t="s">
        <v>165</v>
      </c>
      <c r="B50">
        <v>381</v>
      </c>
      <c r="G50" t="s">
        <v>165</v>
      </c>
      <c r="H50">
        <f t="shared" si="0"/>
        <v>212</v>
      </c>
      <c r="J50" t="s">
        <v>165</v>
      </c>
      <c r="K50">
        <v>694</v>
      </c>
      <c r="P50" t="s">
        <v>165</v>
      </c>
      <c r="Q50">
        <f t="shared" si="1"/>
        <v>624.33000000000004</v>
      </c>
      <c r="U50" t="s">
        <v>165</v>
      </c>
      <c r="V50">
        <f t="shared" si="2"/>
        <v>2.9449528301886794</v>
      </c>
      <c r="AM50" t="s">
        <v>164</v>
      </c>
      <c r="AN50">
        <v>370</v>
      </c>
      <c r="AR50" t="s">
        <v>164</v>
      </c>
      <c r="AS50">
        <f t="shared" si="4"/>
        <v>201</v>
      </c>
      <c r="AV50" t="s">
        <v>164</v>
      </c>
      <c r="AW50">
        <v>1055</v>
      </c>
      <c r="BB50" t="s">
        <v>164</v>
      </c>
      <c r="BC50">
        <f t="shared" si="5"/>
        <v>986.33</v>
      </c>
      <c r="BE50" s="1" t="s">
        <v>164</v>
      </c>
      <c r="BF50">
        <f t="shared" si="6"/>
        <v>4.9071144278606971</v>
      </c>
      <c r="CS50" s="2" t="s">
        <v>165</v>
      </c>
      <c r="CT50" s="3">
        <v>163</v>
      </c>
      <c r="CX50" s="2" t="s">
        <v>165</v>
      </c>
      <c r="CY50">
        <f t="shared" si="9"/>
        <v>-12</v>
      </c>
      <c r="DA50" s="2" t="s">
        <v>165</v>
      </c>
      <c r="DB50" s="3">
        <v>766</v>
      </c>
      <c r="DF50" s="2" t="s">
        <v>165</v>
      </c>
      <c r="DG50">
        <f t="shared" si="10"/>
        <v>693.67</v>
      </c>
      <c r="DR50" s="2" t="s">
        <v>165</v>
      </c>
      <c r="DS50">
        <f t="shared" si="11"/>
        <v>-57.805833333333332</v>
      </c>
    </row>
    <row r="51" spans="1:123" x14ac:dyDescent="0.2">
      <c r="A51" t="s">
        <v>166</v>
      </c>
      <c r="B51">
        <v>161</v>
      </c>
      <c r="G51" t="s">
        <v>166</v>
      </c>
      <c r="H51">
        <f t="shared" si="0"/>
        <v>-8</v>
      </c>
      <c r="J51" t="s">
        <v>166</v>
      </c>
      <c r="K51">
        <v>177</v>
      </c>
      <c r="P51" t="s">
        <v>166</v>
      </c>
      <c r="Q51">
        <f t="shared" si="1"/>
        <v>107.33</v>
      </c>
      <c r="U51" t="s">
        <v>166</v>
      </c>
      <c r="V51">
        <f t="shared" si="2"/>
        <v>-13.41625</v>
      </c>
      <c r="AM51" t="s">
        <v>165</v>
      </c>
      <c r="AN51">
        <v>365</v>
      </c>
      <c r="AR51" t="s">
        <v>165</v>
      </c>
      <c r="AS51">
        <f t="shared" si="4"/>
        <v>196</v>
      </c>
      <c r="AV51" t="s">
        <v>165</v>
      </c>
      <c r="AW51">
        <v>918</v>
      </c>
      <c r="BB51" t="s">
        <v>165</v>
      </c>
      <c r="BC51">
        <f t="shared" si="5"/>
        <v>849.33</v>
      </c>
      <c r="BE51" s="1" t="s">
        <v>165</v>
      </c>
      <c r="BF51">
        <f t="shared" si="6"/>
        <v>4.3333163265306123</v>
      </c>
      <c r="CS51" s="2" t="s">
        <v>166</v>
      </c>
      <c r="CT51" s="3">
        <v>162</v>
      </c>
      <c r="CX51" s="2" t="s">
        <v>166</v>
      </c>
      <c r="CY51">
        <f t="shared" si="9"/>
        <v>-13</v>
      </c>
      <c r="DA51" s="2" t="s">
        <v>166</v>
      </c>
      <c r="DB51" s="3">
        <v>321</v>
      </c>
      <c r="DF51" s="2" t="s">
        <v>166</v>
      </c>
      <c r="DG51">
        <f t="shared" si="10"/>
        <v>248.67000000000002</v>
      </c>
      <c r="DR51" s="2" t="s">
        <v>166</v>
      </c>
      <c r="DS51">
        <f t="shared" si="11"/>
        <v>-19.12846153846154</v>
      </c>
    </row>
    <row r="52" spans="1:123" x14ac:dyDescent="0.2">
      <c r="A52" t="s">
        <v>167</v>
      </c>
      <c r="B52">
        <v>160</v>
      </c>
      <c r="G52" t="s">
        <v>167</v>
      </c>
      <c r="H52">
        <f t="shared" si="0"/>
        <v>-9</v>
      </c>
      <c r="J52" t="s">
        <v>167</v>
      </c>
      <c r="K52">
        <v>237</v>
      </c>
      <c r="P52" t="s">
        <v>167</v>
      </c>
      <c r="Q52">
        <f t="shared" si="1"/>
        <v>167.32999999999998</v>
      </c>
      <c r="U52" t="s">
        <v>167</v>
      </c>
      <c r="V52">
        <f t="shared" si="2"/>
        <v>-18.592222222222219</v>
      </c>
      <c r="AM52" t="s">
        <v>166</v>
      </c>
      <c r="AN52">
        <v>165</v>
      </c>
      <c r="AR52" t="s">
        <v>166</v>
      </c>
      <c r="AS52">
        <f t="shared" si="4"/>
        <v>-4</v>
      </c>
      <c r="AV52" t="s">
        <v>166</v>
      </c>
      <c r="AW52">
        <v>464</v>
      </c>
      <c r="BB52" t="s">
        <v>166</v>
      </c>
      <c r="BC52">
        <f t="shared" si="5"/>
        <v>395.33</v>
      </c>
      <c r="BE52" s="1" t="s">
        <v>166</v>
      </c>
      <c r="BF52">
        <f t="shared" si="6"/>
        <v>-98.832499999999996</v>
      </c>
      <c r="CS52" s="2" t="s">
        <v>167</v>
      </c>
      <c r="CT52" s="3">
        <v>167</v>
      </c>
      <c r="CX52" s="2" t="s">
        <v>167</v>
      </c>
      <c r="CY52">
        <f t="shared" si="9"/>
        <v>-8</v>
      </c>
      <c r="DA52" s="2" t="s">
        <v>167</v>
      </c>
      <c r="DB52" s="3">
        <v>360</v>
      </c>
      <c r="DF52" s="2" t="s">
        <v>167</v>
      </c>
      <c r="DG52">
        <f t="shared" si="10"/>
        <v>287.67</v>
      </c>
      <c r="DR52" s="2" t="s">
        <v>167</v>
      </c>
      <c r="DS52">
        <f t="shared" si="11"/>
        <v>-35.958750000000002</v>
      </c>
    </row>
    <row r="53" spans="1:123" x14ac:dyDescent="0.2">
      <c r="A53" t="s">
        <v>168</v>
      </c>
      <c r="B53">
        <v>159</v>
      </c>
      <c r="G53" t="s">
        <v>168</v>
      </c>
      <c r="H53">
        <f t="shared" si="0"/>
        <v>-10</v>
      </c>
      <c r="J53" t="s">
        <v>168</v>
      </c>
      <c r="K53">
        <v>232</v>
      </c>
      <c r="P53" t="s">
        <v>168</v>
      </c>
      <c r="Q53">
        <f t="shared" si="1"/>
        <v>162.32999999999998</v>
      </c>
      <c r="U53" t="s">
        <v>168</v>
      </c>
      <c r="V53">
        <f t="shared" si="2"/>
        <v>-16.232999999999997</v>
      </c>
      <c r="AM53" t="s">
        <v>167</v>
      </c>
      <c r="AN53">
        <v>160</v>
      </c>
      <c r="AR53" t="s">
        <v>167</v>
      </c>
      <c r="AS53">
        <f t="shared" si="4"/>
        <v>-9</v>
      </c>
      <c r="AV53" t="s">
        <v>167</v>
      </c>
      <c r="AW53">
        <v>317</v>
      </c>
      <c r="BB53" t="s">
        <v>167</v>
      </c>
      <c r="BC53">
        <f t="shared" si="5"/>
        <v>248.32999999999998</v>
      </c>
      <c r="BE53" s="1" t="s">
        <v>167</v>
      </c>
      <c r="BF53">
        <f t="shared" si="6"/>
        <v>-27.592222222222219</v>
      </c>
      <c r="CS53" s="2" t="s">
        <v>168</v>
      </c>
      <c r="CT53" s="3">
        <v>165</v>
      </c>
      <c r="CX53" s="2" t="s">
        <v>168</v>
      </c>
      <c r="CY53">
        <f t="shared" si="9"/>
        <v>-10</v>
      </c>
      <c r="DA53" s="2" t="s">
        <v>168</v>
      </c>
      <c r="DB53" s="3">
        <v>273</v>
      </c>
      <c r="DF53" s="2" t="s">
        <v>168</v>
      </c>
      <c r="DG53">
        <f t="shared" si="10"/>
        <v>200.67000000000002</v>
      </c>
      <c r="DR53" s="2" t="s">
        <v>168</v>
      </c>
      <c r="DS53">
        <f t="shared" si="11"/>
        <v>-20.067</v>
      </c>
    </row>
    <row r="54" spans="1:123" x14ac:dyDescent="0.2">
      <c r="A54" t="s">
        <v>169</v>
      </c>
      <c r="B54">
        <v>161</v>
      </c>
      <c r="G54" t="s">
        <v>169</v>
      </c>
      <c r="H54">
        <f t="shared" si="0"/>
        <v>-8</v>
      </c>
      <c r="J54" t="s">
        <v>169</v>
      </c>
      <c r="K54">
        <v>257</v>
      </c>
      <c r="P54" t="s">
        <v>169</v>
      </c>
      <c r="Q54">
        <f t="shared" si="1"/>
        <v>187.32999999999998</v>
      </c>
      <c r="U54" t="s">
        <v>169</v>
      </c>
      <c r="V54">
        <f t="shared" si="2"/>
        <v>-23.416249999999998</v>
      </c>
      <c r="AM54" t="s">
        <v>168</v>
      </c>
      <c r="AN54">
        <v>162</v>
      </c>
      <c r="AR54" t="s">
        <v>168</v>
      </c>
      <c r="AS54">
        <f t="shared" si="4"/>
        <v>-7</v>
      </c>
      <c r="AV54" t="s">
        <v>168</v>
      </c>
      <c r="AW54">
        <v>285</v>
      </c>
      <c r="BB54" t="s">
        <v>168</v>
      </c>
      <c r="BC54">
        <f t="shared" si="5"/>
        <v>216.32999999999998</v>
      </c>
      <c r="BE54" s="1" t="s">
        <v>168</v>
      </c>
      <c r="BF54">
        <f t="shared" si="6"/>
        <v>-30.904285714285713</v>
      </c>
      <c r="CS54" s="2" t="s">
        <v>169</v>
      </c>
      <c r="CT54" s="3">
        <v>168</v>
      </c>
      <c r="CX54" s="2" t="s">
        <v>169</v>
      </c>
      <c r="CY54">
        <f t="shared" si="9"/>
        <v>-7</v>
      </c>
      <c r="DA54" s="2" t="s">
        <v>169</v>
      </c>
      <c r="DB54" s="3">
        <v>398</v>
      </c>
      <c r="DF54" s="2" t="s">
        <v>169</v>
      </c>
      <c r="DG54">
        <f t="shared" si="10"/>
        <v>325.67</v>
      </c>
      <c r="DR54" s="2" t="s">
        <v>169</v>
      </c>
      <c r="DS54">
        <f t="shared" si="11"/>
        <v>-46.524285714285718</v>
      </c>
    </row>
    <row r="55" spans="1:123" x14ac:dyDescent="0.2">
      <c r="A55" t="s">
        <v>170</v>
      </c>
      <c r="B55">
        <v>152</v>
      </c>
      <c r="G55" t="s">
        <v>170</v>
      </c>
      <c r="H55">
        <f t="shared" si="0"/>
        <v>-17</v>
      </c>
      <c r="J55" t="s">
        <v>170</v>
      </c>
      <c r="K55">
        <v>275</v>
      </c>
      <c r="P55" t="s">
        <v>170</v>
      </c>
      <c r="Q55">
        <f t="shared" si="1"/>
        <v>205.32999999999998</v>
      </c>
      <c r="U55" t="s">
        <v>170</v>
      </c>
      <c r="V55">
        <f t="shared" si="2"/>
        <v>-12.078235294117647</v>
      </c>
      <c r="AM55" t="s">
        <v>169</v>
      </c>
      <c r="AN55">
        <v>161</v>
      </c>
      <c r="AR55" t="s">
        <v>169</v>
      </c>
      <c r="AS55">
        <f t="shared" si="4"/>
        <v>-8</v>
      </c>
      <c r="AV55" t="s">
        <v>169</v>
      </c>
      <c r="AW55">
        <v>289</v>
      </c>
      <c r="BB55" t="s">
        <v>169</v>
      </c>
      <c r="BC55">
        <f t="shared" si="5"/>
        <v>220.32999999999998</v>
      </c>
      <c r="BE55" s="1" t="s">
        <v>169</v>
      </c>
      <c r="BF55">
        <f t="shared" si="6"/>
        <v>-27.541249999999998</v>
      </c>
      <c r="CS55" s="2" t="s">
        <v>170</v>
      </c>
      <c r="CT55" s="3">
        <v>151</v>
      </c>
      <c r="CX55" s="2" t="s">
        <v>170</v>
      </c>
      <c r="CY55">
        <f t="shared" si="9"/>
        <v>-24</v>
      </c>
      <c r="DA55" s="2" t="s">
        <v>170</v>
      </c>
      <c r="DB55" s="3">
        <v>320</v>
      </c>
      <c r="DF55" s="2" t="s">
        <v>170</v>
      </c>
      <c r="DG55">
        <f t="shared" si="10"/>
        <v>247.67000000000002</v>
      </c>
      <c r="DR55" s="2" t="s">
        <v>170</v>
      </c>
      <c r="DS55">
        <f t="shared" si="11"/>
        <v>-10.319583333333334</v>
      </c>
    </row>
    <row r="56" spans="1:123" x14ac:dyDescent="0.2">
      <c r="A56" t="s">
        <v>171</v>
      </c>
      <c r="B56">
        <v>444</v>
      </c>
      <c r="G56" t="s">
        <v>171</v>
      </c>
      <c r="H56">
        <f t="shared" si="0"/>
        <v>275</v>
      </c>
      <c r="J56" t="s">
        <v>171</v>
      </c>
      <c r="K56">
        <v>16248</v>
      </c>
      <c r="P56" t="s">
        <v>171</v>
      </c>
      <c r="Q56">
        <f t="shared" si="1"/>
        <v>16178.33</v>
      </c>
      <c r="U56" t="s">
        <v>171</v>
      </c>
      <c r="V56">
        <f t="shared" si="2"/>
        <v>58.830290909090905</v>
      </c>
      <c r="AM56" t="s">
        <v>170</v>
      </c>
      <c r="AN56">
        <v>182</v>
      </c>
      <c r="AR56" t="s">
        <v>170</v>
      </c>
      <c r="AS56">
        <f t="shared" si="4"/>
        <v>13</v>
      </c>
      <c r="AV56" t="s">
        <v>170</v>
      </c>
      <c r="AW56">
        <v>357</v>
      </c>
      <c r="BB56" t="s">
        <v>170</v>
      </c>
      <c r="BC56">
        <f t="shared" si="5"/>
        <v>288.33</v>
      </c>
      <c r="BE56" s="1" t="s">
        <v>170</v>
      </c>
      <c r="BF56">
        <f t="shared" si="6"/>
        <v>22.179230769230767</v>
      </c>
      <c r="CS56" s="2" t="s">
        <v>171</v>
      </c>
      <c r="CT56" s="3">
        <v>358</v>
      </c>
      <c r="CX56" s="2" t="s">
        <v>171</v>
      </c>
      <c r="CY56">
        <f t="shared" si="9"/>
        <v>183</v>
      </c>
      <c r="DA56" s="2" t="s">
        <v>171</v>
      </c>
      <c r="DB56" s="3">
        <v>15236</v>
      </c>
      <c r="DF56" s="2" t="s">
        <v>171</v>
      </c>
      <c r="DG56">
        <f t="shared" si="10"/>
        <v>15163.67</v>
      </c>
      <c r="DR56" s="2" t="s">
        <v>171</v>
      </c>
      <c r="DS56">
        <f t="shared" si="11"/>
        <v>82.861584699453559</v>
      </c>
    </row>
    <row r="57" spans="1:123" x14ac:dyDescent="0.2">
      <c r="A57" t="s">
        <v>172</v>
      </c>
      <c r="B57">
        <v>501</v>
      </c>
      <c r="G57" t="s">
        <v>172</v>
      </c>
      <c r="H57">
        <f t="shared" si="0"/>
        <v>332</v>
      </c>
      <c r="J57" t="s">
        <v>172</v>
      </c>
      <c r="K57">
        <v>375</v>
      </c>
      <c r="P57" t="s">
        <v>172</v>
      </c>
      <c r="Q57">
        <f t="shared" si="1"/>
        <v>305.33</v>
      </c>
      <c r="U57" t="s">
        <v>172</v>
      </c>
      <c r="V57">
        <f t="shared" si="2"/>
        <v>0.9196686746987951</v>
      </c>
      <c r="AM57" t="s">
        <v>171</v>
      </c>
      <c r="AN57">
        <v>386</v>
      </c>
      <c r="AR57" t="s">
        <v>171</v>
      </c>
      <c r="AS57">
        <f t="shared" si="4"/>
        <v>217</v>
      </c>
      <c r="AV57" t="s">
        <v>171</v>
      </c>
      <c r="AW57">
        <v>16447</v>
      </c>
      <c r="BB57" t="s">
        <v>171</v>
      </c>
      <c r="BC57">
        <f t="shared" si="5"/>
        <v>16378.33</v>
      </c>
      <c r="BE57" s="1" t="s">
        <v>171</v>
      </c>
      <c r="BF57">
        <f t="shared" si="6"/>
        <v>75.476175115207369</v>
      </c>
      <c r="CS57" s="2" t="s">
        <v>172</v>
      </c>
      <c r="CT57" s="3">
        <v>428</v>
      </c>
      <c r="CX57" s="2" t="s">
        <v>172</v>
      </c>
      <c r="CY57">
        <f t="shared" si="9"/>
        <v>253</v>
      </c>
      <c r="DA57" s="2" t="s">
        <v>172</v>
      </c>
      <c r="DB57" s="3">
        <v>751</v>
      </c>
      <c r="DF57" s="2" t="s">
        <v>172</v>
      </c>
      <c r="DG57">
        <f t="shared" si="10"/>
        <v>678.67</v>
      </c>
      <c r="DR57" s="2" t="s">
        <v>172</v>
      </c>
      <c r="DS57">
        <f t="shared" si="11"/>
        <v>2.6824901185770749</v>
      </c>
    </row>
    <row r="58" spans="1:123" x14ac:dyDescent="0.2">
      <c r="A58" t="s">
        <v>173</v>
      </c>
      <c r="B58">
        <v>426</v>
      </c>
      <c r="G58" t="s">
        <v>173</v>
      </c>
      <c r="H58">
        <f t="shared" si="0"/>
        <v>257</v>
      </c>
      <c r="J58" t="s">
        <v>173</v>
      </c>
      <c r="K58">
        <v>331</v>
      </c>
      <c r="P58" t="s">
        <v>173</v>
      </c>
      <c r="Q58">
        <f t="shared" si="1"/>
        <v>261.33</v>
      </c>
      <c r="U58" t="s">
        <v>173</v>
      </c>
      <c r="V58">
        <f t="shared" si="2"/>
        <v>1.0168482490272372</v>
      </c>
      <c r="AM58" t="s">
        <v>172</v>
      </c>
      <c r="AN58">
        <v>433</v>
      </c>
      <c r="AR58" t="s">
        <v>172</v>
      </c>
      <c r="AS58">
        <f t="shared" si="4"/>
        <v>264</v>
      </c>
      <c r="AV58" t="s">
        <v>172</v>
      </c>
      <c r="AW58">
        <v>698</v>
      </c>
      <c r="BB58" t="s">
        <v>172</v>
      </c>
      <c r="BC58">
        <f t="shared" si="5"/>
        <v>629.33000000000004</v>
      </c>
      <c r="BE58" s="1" t="s">
        <v>172</v>
      </c>
      <c r="BF58">
        <f t="shared" si="6"/>
        <v>2.3838257575757575</v>
      </c>
      <c r="CS58" s="2" t="s">
        <v>173</v>
      </c>
      <c r="CT58" s="3">
        <v>446</v>
      </c>
      <c r="CX58" s="2" t="s">
        <v>173</v>
      </c>
      <c r="CY58">
        <f t="shared" si="9"/>
        <v>271</v>
      </c>
      <c r="DA58" s="2" t="s">
        <v>173</v>
      </c>
      <c r="DB58" s="3">
        <v>740</v>
      </c>
      <c r="DF58" s="2" t="s">
        <v>173</v>
      </c>
      <c r="DG58">
        <f t="shared" si="10"/>
        <v>667.67</v>
      </c>
      <c r="DR58" s="2" t="s">
        <v>173</v>
      </c>
      <c r="DS58">
        <f t="shared" si="11"/>
        <v>2.4637269372693726</v>
      </c>
    </row>
    <row r="59" spans="1:123" x14ac:dyDescent="0.2">
      <c r="A59" t="s">
        <v>174</v>
      </c>
      <c r="B59">
        <v>350</v>
      </c>
      <c r="G59" t="s">
        <v>174</v>
      </c>
      <c r="H59">
        <f t="shared" si="0"/>
        <v>181</v>
      </c>
      <c r="J59" t="s">
        <v>174</v>
      </c>
      <c r="K59">
        <v>222</v>
      </c>
      <c r="P59" t="s">
        <v>174</v>
      </c>
      <c r="Q59">
        <f t="shared" si="1"/>
        <v>152.32999999999998</v>
      </c>
      <c r="U59" t="s">
        <v>174</v>
      </c>
      <c r="V59">
        <f t="shared" si="2"/>
        <v>0.84160220994475132</v>
      </c>
      <c r="AM59" t="s">
        <v>173</v>
      </c>
      <c r="AN59">
        <v>409</v>
      </c>
      <c r="AR59" t="s">
        <v>173</v>
      </c>
      <c r="AS59">
        <f t="shared" si="4"/>
        <v>240</v>
      </c>
      <c r="AV59" t="s">
        <v>173</v>
      </c>
      <c r="AW59">
        <v>679</v>
      </c>
      <c r="BB59" t="s">
        <v>173</v>
      </c>
      <c r="BC59">
        <f t="shared" si="5"/>
        <v>610.33000000000004</v>
      </c>
      <c r="BE59" s="1" t="s">
        <v>173</v>
      </c>
      <c r="BF59">
        <f t="shared" si="6"/>
        <v>2.5430416666666669</v>
      </c>
      <c r="CS59" s="2" t="s">
        <v>174</v>
      </c>
      <c r="CT59" s="3">
        <v>408</v>
      </c>
      <c r="CX59" s="2" t="s">
        <v>174</v>
      </c>
      <c r="CY59">
        <f t="shared" si="9"/>
        <v>233</v>
      </c>
      <c r="DA59" s="2" t="s">
        <v>174</v>
      </c>
      <c r="DB59" s="3">
        <v>557</v>
      </c>
      <c r="DF59" s="2" t="s">
        <v>174</v>
      </c>
      <c r="DG59">
        <f t="shared" si="10"/>
        <v>484.67</v>
      </c>
      <c r="DR59" s="2" t="s">
        <v>174</v>
      </c>
      <c r="DS59">
        <f t="shared" si="11"/>
        <v>2.0801287553648069</v>
      </c>
    </row>
    <row r="60" spans="1:123" x14ac:dyDescent="0.2">
      <c r="A60" t="s">
        <v>175</v>
      </c>
      <c r="B60">
        <v>348</v>
      </c>
      <c r="G60" t="s">
        <v>175</v>
      </c>
      <c r="H60">
        <f t="shared" si="0"/>
        <v>179</v>
      </c>
      <c r="J60" t="s">
        <v>175</v>
      </c>
      <c r="K60">
        <v>11571</v>
      </c>
      <c r="P60" t="s">
        <v>175</v>
      </c>
      <c r="Q60">
        <f t="shared" si="1"/>
        <v>11501.33</v>
      </c>
      <c r="U60" t="s">
        <v>175</v>
      </c>
      <c r="V60">
        <f t="shared" si="2"/>
        <v>64.253240223463692</v>
      </c>
      <c r="AM60" t="s">
        <v>174</v>
      </c>
      <c r="AN60">
        <v>443</v>
      </c>
      <c r="AR60" t="s">
        <v>174</v>
      </c>
      <c r="AS60">
        <f t="shared" si="4"/>
        <v>274</v>
      </c>
      <c r="AV60" t="s">
        <v>174</v>
      </c>
      <c r="AW60">
        <v>595</v>
      </c>
      <c r="BB60" t="s">
        <v>174</v>
      </c>
      <c r="BC60">
        <f t="shared" si="5"/>
        <v>526.33000000000004</v>
      </c>
      <c r="BE60" s="1" t="s">
        <v>174</v>
      </c>
      <c r="BF60">
        <f t="shared" si="6"/>
        <v>1.9209124087591243</v>
      </c>
      <c r="CS60" s="2" t="s">
        <v>175</v>
      </c>
      <c r="CT60" s="3">
        <v>377</v>
      </c>
      <c r="CX60" s="2" t="s">
        <v>175</v>
      </c>
      <c r="CY60">
        <f t="shared" si="9"/>
        <v>202</v>
      </c>
      <c r="DA60" s="2" t="s">
        <v>175</v>
      </c>
      <c r="DB60" s="3">
        <v>14217</v>
      </c>
      <c r="DF60" s="2" t="s">
        <v>175</v>
      </c>
      <c r="DG60">
        <f t="shared" si="10"/>
        <v>14144.67</v>
      </c>
      <c r="DR60" s="2" t="s">
        <v>175</v>
      </c>
      <c r="DS60">
        <f t="shared" si="11"/>
        <v>70.02311881188119</v>
      </c>
    </row>
    <row r="61" spans="1:123" x14ac:dyDescent="0.2">
      <c r="A61" t="s">
        <v>176</v>
      </c>
      <c r="B61">
        <v>156</v>
      </c>
      <c r="G61" t="s">
        <v>176</v>
      </c>
      <c r="H61">
        <f t="shared" si="0"/>
        <v>-13</v>
      </c>
      <c r="J61" t="s">
        <v>176</v>
      </c>
      <c r="K61">
        <v>221</v>
      </c>
      <c r="P61" t="s">
        <v>176</v>
      </c>
      <c r="Q61">
        <f t="shared" si="1"/>
        <v>151.32999999999998</v>
      </c>
      <c r="U61" t="s">
        <v>176</v>
      </c>
      <c r="V61">
        <f t="shared" si="2"/>
        <v>-11.64076923076923</v>
      </c>
      <c r="AM61" t="s">
        <v>175</v>
      </c>
      <c r="AN61">
        <v>376</v>
      </c>
      <c r="AR61" t="s">
        <v>175</v>
      </c>
      <c r="AS61">
        <f t="shared" si="4"/>
        <v>207</v>
      </c>
      <c r="AV61" t="s">
        <v>175</v>
      </c>
      <c r="AW61">
        <v>14752</v>
      </c>
      <c r="BB61" t="s">
        <v>175</v>
      </c>
      <c r="BC61">
        <f t="shared" si="5"/>
        <v>14683.33</v>
      </c>
      <c r="BE61" s="1" t="s">
        <v>175</v>
      </c>
      <c r="BF61">
        <f t="shared" si="6"/>
        <v>70.933961352657008</v>
      </c>
      <c r="CS61" s="2" t="s">
        <v>176</v>
      </c>
      <c r="CT61" s="3">
        <v>166</v>
      </c>
      <c r="CX61" s="2" t="s">
        <v>176</v>
      </c>
      <c r="CY61">
        <f t="shared" si="9"/>
        <v>-9</v>
      </c>
      <c r="DA61" s="2" t="s">
        <v>176</v>
      </c>
      <c r="DB61" s="3">
        <v>294</v>
      </c>
      <c r="DF61" s="2" t="s">
        <v>176</v>
      </c>
      <c r="DG61">
        <f t="shared" si="10"/>
        <v>221.67000000000002</v>
      </c>
      <c r="DR61" s="2" t="s">
        <v>176</v>
      </c>
      <c r="DS61">
        <f t="shared" si="11"/>
        <v>-24.630000000000003</v>
      </c>
    </row>
    <row r="62" spans="1:123" x14ac:dyDescent="0.2">
      <c r="A62" t="s">
        <v>177</v>
      </c>
      <c r="B62">
        <v>162</v>
      </c>
      <c r="G62" t="s">
        <v>177</v>
      </c>
      <c r="H62">
        <f t="shared" si="0"/>
        <v>-7</v>
      </c>
      <c r="J62" t="s">
        <v>177</v>
      </c>
      <c r="K62">
        <v>270</v>
      </c>
      <c r="P62" t="s">
        <v>177</v>
      </c>
      <c r="Q62">
        <f t="shared" si="1"/>
        <v>200.32999999999998</v>
      </c>
      <c r="U62" t="s">
        <v>177</v>
      </c>
      <c r="V62">
        <f t="shared" si="2"/>
        <v>-28.618571428571425</v>
      </c>
      <c r="AM62" t="s">
        <v>176</v>
      </c>
      <c r="AN62">
        <v>160</v>
      </c>
      <c r="AR62" t="s">
        <v>176</v>
      </c>
      <c r="AS62">
        <f t="shared" si="4"/>
        <v>-9</v>
      </c>
      <c r="AV62" t="s">
        <v>176</v>
      </c>
      <c r="AW62">
        <v>301</v>
      </c>
      <c r="BB62" t="s">
        <v>176</v>
      </c>
      <c r="BC62">
        <f t="shared" si="5"/>
        <v>232.32999999999998</v>
      </c>
      <c r="BE62" s="1" t="s">
        <v>176</v>
      </c>
      <c r="BF62">
        <f t="shared" si="6"/>
        <v>-25.814444444444444</v>
      </c>
      <c r="CS62" s="2" t="s">
        <v>177</v>
      </c>
      <c r="CT62" s="3">
        <v>164</v>
      </c>
      <c r="CX62" s="2" t="s">
        <v>177</v>
      </c>
      <c r="CY62">
        <f t="shared" si="9"/>
        <v>-11</v>
      </c>
      <c r="DA62" s="2" t="s">
        <v>177</v>
      </c>
      <c r="DB62" s="3">
        <v>251</v>
      </c>
      <c r="DF62" s="2" t="s">
        <v>177</v>
      </c>
      <c r="DG62">
        <f t="shared" si="10"/>
        <v>178.67000000000002</v>
      </c>
      <c r="DR62" s="2" t="s">
        <v>177</v>
      </c>
      <c r="DS62">
        <f t="shared" si="11"/>
        <v>-16.242727272727276</v>
      </c>
    </row>
    <row r="63" spans="1:123" x14ac:dyDescent="0.2">
      <c r="A63" t="s">
        <v>178</v>
      </c>
      <c r="B63">
        <v>158</v>
      </c>
      <c r="G63" t="s">
        <v>178</v>
      </c>
      <c r="H63">
        <f t="shared" si="0"/>
        <v>-11</v>
      </c>
      <c r="J63" t="s">
        <v>178</v>
      </c>
      <c r="K63">
        <v>272</v>
      </c>
      <c r="P63" t="s">
        <v>178</v>
      </c>
      <c r="Q63">
        <f t="shared" si="1"/>
        <v>202.32999999999998</v>
      </c>
      <c r="U63" t="s">
        <v>178</v>
      </c>
      <c r="V63">
        <f t="shared" si="2"/>
        <v>-18.393636363636361</v>
      </c>
      <c r="AM63" t="s">
        <v>177</v>
      </c>
      <c r="AN63">
        <v>164</v>
      </c>
      <c r="AR63" t="s">
        <v>177</v>
      </c>
      <c r="AS63">
        <f t="shared" si="4"/>
        <v>-5</v>
      </c>
      <c r="AV63" t="s">
        <v>177</v>
      </c>
      <c r="AW63">
        <v>319</v>
      </c>
      <c r="BB63" t="s">
        <v>177</v>
      </c>
      <c r="BC63">
        <f t="shared" si="5"/>
        <v>250.32999999999998</v>
      </c>
      <c r="BE63" s="1" t="s">
        <v>177</v>
      </c>
      <c r="BF63">
        <f t="shared" si="6"/>
        <v>-50.065999999999995</v>
      </c>
      <c r="CS63" s="2" t="s">
        <v>178</v>
      </c>
      <c r="CT63" s="3">
        <v>163</v>
      </c>
      <c r="CX63" s="2" t="s">
        <v>178</v>
      </c>
      <c r="CY63">
        <f t="shared" si="9"/>
        <v>-12</v>
      </c>
      <c r="DA63" s="2" t="s">
        <v>178</v>
      </c>
      <c r="DB63" s="3">
        <v>250</v>
      </c>
      <c r="DF63" s="2" t="s">
        <v>178</v>
      </c>
      <c r="DG63">
        <f t="shared" si="10"/>
        <v>177.67000000000002</v>
      </c>
      <c r="DR63" s="2" t="s">
        <v>178</v>
      </c>
      <c r="DS63">
        <f t="shared" si="11"/>
        <v>-14.805833333333334</v>
      </c>
    </row>
    <row r="64" spans="1:123" x14ac:dyDescent="0.2">
      <c r="A64" t="s">
        <v>179</v>
      </c>
      <c r="B64">
        <v>421</v>
      </c>
      <c r="G64" t="s">
        <v>179</v>
      </c>
      <c r="H64">
        <f t="shared" si="0"/>
        <v>252</v>
      </c>
      <c r="J64" t="s">
        <v>179</v>
      </c>
      <c r="K64">
        <v>17453</v>
      </c>
      <c r="P64" t="s">
        <v>179</v>
      </c>
      <c r="Q64">
        <f t="shared" si="1"/>
        <v>17383.330000000002</v>
      </c>
      <c r="U64" t="s">
        <v>179</v>
      </c>
      <c r="V64">
        <f t="shared" si="2"/>
        <v>68.981468253968259</v>
      </c>
      <c r="AM64" t="s">
        <v>178</v>
      </c>
      <c r="AN64">
        <v>163</v>
      </c>
      <c r="AR64" t="s">
        <v>178</v>
      </c>
      <c r="AS64">
        <f t="shared" si="4"/>
        <v>-6</v>
      </c>
      <c r="AV64" t="s">
        <v>178</v>
      </c>
      <c r="AW64">
        <v>252</v>
      </c>
      <c r="BB64" t="s">
        <v>178</v>
      </c>
      <c r="BC64">
        <f t="shared" si="5"/>
        <v>183.32999999999998</v>
      </c>
      <c r="BE64" s="1" t="s">
        <v>178</v>
      </c>
      <c r="BF64">
        <f t="shared" si="6"/>
        <v>-30.554999999999996</v>
      </c>
      <c r="CS64" s="2" t="s">
        <v>179</v>
      </c>
      <c r="CT64" s="3">
        <v>318</v>
      </c>
      <c r="CX64" s="2" t="s">
        <v>179</v>
      </c>
      <c r="CY64">
        <f t="shared" si="9"/>
        <v>143</v>
      </c>
      <c r="DA64" s="2" t="s">
        <v>179</v>
      </c>
      <c r="DB64" s="3">
        <v>10446</v>
      </c>
      <c r="DF64" s="2" t="s">
        <v>179</v>
      </c>
      <c r="DG64">
        <f t="shared" si="10"/>
        <v>10373.67</v>
      </c>
      <c r="DR64" s="2" t="s">
        <v>179</v>
      </c>
      <c r="DS64">
        <f t="shared" si="11"/>
        <v>72.543146853146851</v>
      </c>
    </row>
    <row r="65" spans="1:123" x14ac:dyDescent="0.2">
      <c r="A65" t="s">
        <v>180</v>
      </c>
      <c r="B65">
        <v>187</v>
      </c>
      <c r="G65" t="s">
        <v>180</v>
      </c>
      <c r="H65">
        <f t="shared" si="0"/>
        <v>18</v>
      </c>
      <c r="J65" t="s">
        <v>180</v>
      </c>
      <c r="K65">
        <v>71</v>
      </c>
      <c r="P65" t="s">
        <v>180</v>
      </c>
      <c r="Q65">
        <f t="shared" si="1"/>
        <v>1.3299999999999983</v>
      </c>
      <c r="U65" t="s">
        <v>180</v>
      </c>
      <c r="V65">
        <f t="shared" si="2"/>
        <v>7.3888888888888796E-2</v>
      </c>
      <c r="AM65" t="s">
        <v>179</v>
      </c>
      <c r="AN65">
        <v>430</v>
      </c>
      <c r="AR65" t="s">
        <v>179</v>
      </c>
      <c r="AS65">
        <f t="shared" si="4"/>
        <v>261</v>
      </c>
      <c r="AV65" t="s">
        <v>179</v>
      </c>
      <c r="AW65">
        <v>18938</v>
      </c>
      <c r="BB65" t="s">
        <v>179</v>
      </c>
      <c r="BC65">
        <f t="shared" si="5"/>
        <v>18869.330000000002</v>
      </c>
      <c r="BE65" s="1" t="s">
        <v>179</v>
      </c>
      <c r="BF65">
        <f t="shared" si="6"/>
        <v>72.296283524904226</v>
      </c>
      <c r="CS65" s="2" t="s">
        <v>180</v>
      </c>
      <c r="CT65" s="3">
        <v>180</v>
      </c>
      <c r="CX65" s="2" t="s">
        <v>180</v>
      </c>
      <c r="CY65">
        <f t="shared" si="9"/>
        <v>5</v>
      </c>
      <c r="DA65" s="2" t="s">
        <v>180</v>
      </c>
      <c r="DB65" s="3">
        <v>73</v>
      </c>
      <c r="DF65" s="2" t="s">
        <v>180</v>
      </c>
      <c r="DG65">
        <f t="shared" si="10"/>
        <v>0.67000000000000171</v>
      </c>
      <c r="DR65" s="2" t="s">
        <v>180</v>
      </c>
      <c r="DS65">
        <f t="shared" si="11"/>
        <v>0.13400000000000034</v>
      </c>
    </row>
    <row r="66" spans="1:123" x14ac:dyDescent="0.2">
      <c r="A66" t="s">
        <v>181</v>
      </c>
      <c r="B66">
        <v>624</v>
      </c>
      <c r="G66" t="s">
        <v>181</v>
      </c>
      <c r="H66">
        <f t="shared" si="0"/>
        <v>455</v>
      </c>
      <c r="J66" t="s">
        <v>181</v>
      </c>
      <c r="K66">
        <v>419</v>
      </c>
      <c r="P66" t="s">
        <v>181</v>
      </c>
      <c r="Q66">
        <f t="shared" si="1"/>
        <v>349.33</v>
      </c>
      <c r="U66" t="s">
        <v>181</v>
      </c>
      <c r="V66">
        <f t="shared" si="2"/>
        <v>0.7677582417582417</v>
      </c>
      <c r="AM66" t="s">
        <v>180</v>
      </c>
      <c r="AN66">
        <v>158</v>
      </c>
      <c r="AR66" t="s">
        <v>180</v>
      </c>
      <c r="AS66">
        <f t="shared" si="4"/>
        <v>-11</v>
      </c>
      <c r="AV66" t="s">
        <v>180</v>
      </c>
      <c r="AW66">
        <v>68</v>
      </c>
      <c r="BB66" t="s">
        <v>180</v>
      </c>
      <c r="BC66">
        <f t="shared" si="5"/>
        <v>-0.67000000000000171</v>
      </c>
      <c r="BE66" s="1" t="s">
        <v>180</v>
      </c>
      <c r="BF66">
        <f t="shared" si="6"/>
        <v>6.0909090909091065E-2</v>
      </c>
      <c r="CS66" s="2" t="s">
        <v>181</v>
      </c>
      <c r="CT66" s="3">
        <v>480</v>
      </c>
      <c r="CX66" s="2" t="s">
        <v>181</v>
      </c>
      <c r="CY66">
        <f t="shared" si="9"/>
        <v>305</v>
      </c>
      <c r="DA66" s="2" t="s">
        <v>181</v>
      </c>
      <c r="DB66" s="3">
        <v>539</v>
      </c>
      <c r="DF66" s="2" t="s">
        <v>181</v>
      </c>
      <c r="DG66">
        <f t="shared" si="10"/>
        <v>466.67</v>
      </c>
      <c r="DR66" s="2" t="s">
        <v>181</v>
      </c>
      <c r="DS66">
        <f t="shared" si="11"/>
        <v>1.5300655737704918</v>
      </c>
    </row>
    <row r="67" spans="1:123" x14ac:dyDescent="0.2">
      <c r="A67" t="s">
        <v>182</v>
      </c>
      <c r="B67">
        <v>1205</v>
      </c>
      <c r="G67" t="s">
        <v>182</v>
      </c>
      <c r="H67">
        <f t="shared" ref="H67:H73" si="16">B67-169</f>
        <v>1036</v>
      </c>
      <c r="J67" t="s">
        <v>182</v>
      </c>
      <c r="K67">
        <v>578</v>
      </c>
      <c r="P67" t="s">
        <v>182</v>
      </c>
      <c r="Q67">
        <f t="shared" ref="Q67:Q73" si="17">K67-69.67</f>
        <v>508.33</v>
      </c>
      <c r="U67" t="s">
        <v>182</v>
      </c>
      <c r="V67">
        <f t="shared" ref="V67:V73" si="18">Q67/H67</f>
        <v>0.49066602316602315</v>
      </c>
      <c r="AM67" t="s">
        <v>182</v>
      </c>
      <c r="AN67">
        <v>1141</v>
      </c>
      <c r="AR67" t="s">
        <v>182</v>
      </c>
      <c r="AS67">
        <f t="shared" ref="AS67:AS73" si="19">AN67-169</f>
        <v>972</v>
      </c>
      <c r="AV67" t="s">
        <v>182</v>
      </c>
      <c r="AW67">
        <v>876</v>
      </c>
      <c r="BB67" t="s">
        <v>182</v>
      </c>
      <c r="BC67">
        <f t="shared" ref="BC67:BC73" si="20">AW67-68.67</f>
        <v>807.33</v>
      </c>
      <c r="BE67" s="1" t="s">
        <v>182</v>
      </c>
      <c r="BF67">
        <f t="shared" ref="BF67:BF73" si="21">BC67/AS67</f>
        <v>0.83058641975308645</v>
      </c>
      <c r="CS67" s="2" t="s">
        <v>182</v>
      </c>
      <c r="CT67" s="3">
        <v>509</v>
      </c>
      <c r="CX67" s="2" t="s">
        <v>182</v>
      </c>
      <c r="CY67">
        <f t="shared" ref="CY67:CY73" si="22">CT67-175</f>
        <v>334</v>
      </c>
      <c r="DA67" s="2" t="s">
        <v>182</v>
      </c>
      <c r="DB67" s="3">
        <v>492</v>
      </c>
      <c r="DF67" s="2" t="s">
        <v>182</v>
      </c>
      <c r="DG67">
        <f t="shared" ref="DG67:DG73" si="23">DB67-72.33</f>
        <v>419.67</v>
      </c>
      <c r="DR67" s="2" t="s">
        <v>182</v>
      </c>
      <c r="DS67">
        <f t="shared" ref="DS67:DS73" si="24">DG67/CY67</f>
        <v>1.2564970059880241</v>
      </c>
    </row>
    <row r="68" spans="1:123" x14ac:dyDescent="0.2">
      <c r="A68" t="s">
        <v>183</v>
      </c>
      <c r="B68">
        <v>708</v>
      </c>
      <c r="G68" t="s">
        <v>183</v>
      </c>
      <c r="H68">
        <f t="shared" si="16"/>
        <v>539</v>
      </c>
      <c r="J68" t="s">
        <v>183</v>
      </c>
      <c r="K68">
        <v>532</v>
      </c>
      <c r="P68" t="s">
        <v>183</v>
      </c>
      <c r="Q68">
        <f t="shared" si="17"/>
        <v>462.33</v>
      </c>
      <c r="U68" t="s">
        <v>183</v>
      </c>
      <c r="V68">
        <f t="shared" si="18"/>
        <v>0.85775510204081629</v>
      </c>
      <c r="AM68" t="s">
        <v>183</v>
      </c>
      <c r="AN68">
        <v>470</v>
      </c>
      <c r="AR68" t="s">
        <v>183</v>
      </c>
      <c r="AS68">
        <f t="shared" si="19"/>
        <v>301</v>
      </c>
      <c r="AV68" t="s">
        <v>183</v>
      </c>
      <c r="AW68">
        <v>503</v>
      </c>
      <c r="BB68" t="s">
        <v>183</v>
      </c>
      <c r="BC68">
        <f t="shared" si="20"/>
        <v>434.33</v>
      </c>
      <c r="BE68" s="1" t="s">
        <v>183</v>
      </c>
      <c r="BF68">
        <f t="shared" si="21"/>
        <v>1.4429568106312292</v>
      </c>
      <c r="CS68" s="2" t="s">
        <v>183</v>
      </c>
      <c r="CT68" s="3">
        <v>437</v>
      </c>
      <c r="CX68" s="2" t="s">
        <v>183</v>
      </c>
      <c r="CY68">
        <f t="shared" si="22"/>
        <v>262</v>
      </c>
      <c r="DA68" s="2" t="s">
        <v>183</v>
      </c>
      <c r="DB68" s="3">
        <v>466</v>
      </c>
      <c r="DF68" s="2" t="s">
        <v>183</v>
      </c>
      <c r="DG68">
        <f t="shared" si="23"/>
        <v>393.67</v>
      </c>
      <c r="DR68" s="2" t="s">
        <v>183</v>
      </c>
      <c r="DS68">
        <f t="shared" si="24"/>
        <v>1.502557251908397</v>
      </c>
    </row>
    <row r="69" spans="1:123" x14ac:dyDescent="0.2">
      <c r="A69" t="s">
        <v>184</v>
      </c>
      <c r="B69">
        <v>156</v>
      </c>
      <c r="G69" t="s">
        <v>184</v>
      </c>
      <c r="H69">
        <f t="shared" si="16"/>
        <v>-13</v>
      </c>
      <c r="J69" t="s">
        <v>184</v>
      </c>
      <c r="K69">
        <v>458</v>
      </c>
      <c r="P69" t="s">
        <v>184</v>
      </c>
      <c r="Q69">
        <f t="shared" si="17"/>
        <v>388.33</v>
      </c>
      <c r="U69" t="s">
        <v>184</v>
      </c>
      <c r="V69">
        <f t="shared" si="18"/>
        <v>-29.87153846153846</v>
      </c>
      <c r="AM69" t="s">
        <v>184</v>
      </c>
      <c r="AN69">
        <v>158</v>
      </c>
      <c r="AR69" t="s">
        <v>184</v>
      </c>
      <c r="AS69">
        <f t="shared" si="19"/>
        <v>-11</v>
      </c>
      <c r="AV69" t="s">
        <v>184</v>
      </c>
      <c r="AW69">
        <v>891</v>
      </c>
      <c r="BB69" t="s">
        <v>184</v>
      </c>
      <c r="BC69">
        <f t="shared" si="20"/>
        <v>822.33</v>
      </c>
      <c r="BE69" s="1" t="s">
        <v>184</v>
      </c>
      <c r="BF69">
        <f t="shared" si="21"/>
        <v>-74.757272727272735</v>
      </c>
      <c r="CS69" s="2" t="s">
        <v>184</v>
      </c>
      <c r="CT69" s="3">
        <v>161</v>
      </c>
      <c r="CX69" s="2" t="s">
        <v>184</v>
      </c>
      <c r="CY69">
        <f t="shared" si="22"/>
        <v>-14</v>
      </c>
      <c r="DA69" s="2" t="s">
        <v>184</v>
      </c>
      <c r="DB69" s="3">
        <v>558</v>
      </c>
      <c r="DF69" s="2" t="s">
        <v>184</v>
      </c>
      <c r="DG69">
        <f t="shared" si="23"/>
        <v>485.67</v>
      </c>
      <c r="DR69" s="2" t="s">
        <v>184</v>
      </c>
      <c r="DS69">
        <f t="shared" si="24"/>
        <v>-34.690714285714286</v>
      </c>
    </row>
    <row r="70" spans="1:123" x14ac:dyDescent="0.2">
      <c r="A70" t="s">
        <v>185</v>
      </c>
      <c r="B70">
        <v>173</v>
      </c>
      <c r="G70" t="s">
        <v>185</v>
      </c>
      <c r="H70">
        <f t="shared" si="16"/>
        <v>4</v>
      </c>
      <c r="J70" t="s">
        <v>185</v>
      </c>
      <c r="K70">
        <v>550</v>
      </c>
      <c r="P70" t="s">
        <v>185</v>
      </c>
      <c r="Q70">
        <f t="shared" si="17"/>
        <v>480.33</v>
      </c>
      <c r="U70" t="s">
        <v>185</v>
      </c>
      <c r="V70">
        <f t="shared" si="18"/>
        <v>120.0825</v>
      </c>
      <c r="AM70" t="s">
        <v>185</v>
      </c>
      <c r="AN70">
        <v>154</v>
      </c>
      <c r="AR70" t="s">
        <v>185</v>
      </c>
      <c r="AS70">
        <f t="shared" si="19"/>
        <v>-15</v>
      </c>
      <c r="AV70" t="s">
        <v>185</v>
      </c>
      <c r="AW70">
        <v>424</v>
      </c>
      <c r="BB70" t="s">
        <v>185</v>
      </c>
      <c r="BC70">
        <f t="shared" si="20"/>
        <v>355.33</v>
      </c>
      <c r="BE70" s="1" t="s">
        <v>185</v>
      </c>
      <c r="BF70">
        <f t="shared" si="21"/>
        <v>-23.688666666666666</v>
      </c>
      <c r="CS70" s="2" t="s">
        <v>185</v>
      </c>
      <c r="CT70" s="3">
        <v>172</v>
      </c>
      <c r="CX70" s="2" t="s">
        <v>185</v>
      </c>
      <c r="CY70">
        <f t="shared" si="22"/>
        <v>-3</v>
      </c>
      <c r="DA70" s="2" t="s">
        <v>185</v>
      </c>
      <c r="DB70" s="3">
        <v>408</v>
      </c>
      <c r="DF70" s="2" t="s">
        <v>185</v>
      </c>
      <c r="DG70">
        <f t="shared" si="23"/>
        <v>335.67</v>
      </c>
      <c r="DR70" s="2" t="s">
        <v>185</v>
      </c>
      <c r="DS70">
        <f t="shared" si="24"/>
        <v>-111.89</v>
      </c>
    </row>
    <row r="71" spans="1:123" x14ac:dyDescent="0.2">
      <c r="A71" t="s">
        <v>186</v>
      </c>
      <c r="B71">
        <v>175</v>
      </c>
      <c r="G71" t="s">
        <v>186</v>
      </c>
      <c r="H71">
        <f t="shared" si="16"/>
        <v>6</v>
      </c>
      <c r="J71" t="s">
        <v>186</v>
      </c>
      <c r="K71">
        <v>556</v>
      </c>
      <c r="P71" t="s">
        <v>186</v>
      </c>
      <c r="Q71">
        <f t="shared" si="17"/>
        <v>486.33</v>
      </c>
      <c r="U71" t="s">
        <v>186</v>
      </c>
      <c r="V71">
        <f t="shared" si="18"/>
        <v>81.054999999999993</v>
      </c>
      <c r="AM71" t="s">
        <v>186</v>
      </c>
      <c r="AN71">
        <v>163</v>
      </c>
      <c r="AR71" t="s">
        <v>186</v>
      </c>
      <c r="AS71">
        <f t="shared" si="19"/>
        <v>-6</v>
      </c>
      <c r="AV71" t="s">
        <v>186</v>
      </c>
      <c r="AW71">
        <v>511</v>
      </c>
      <c r="BB71" t="s">
        <v>186</v>
      </c>
      <c r="BC71">
        <f t="shared" si="20"/>
        <v>442.33</v>
      </c>
      <c r="BE71" s="1" t="s">
        <v>186</v>
      </c>
      <c r="BF71">
        <f t="shared" si="21"/>
        <v>-73.721666666666664</v>
      </c>
      <c r="CS71" s="2" t="s">
        <v>186</v>
      </c>
      <c r="CT71" s="3">
        <v>166</v>
      </c>
      <c r="CX71" s="2" t="s">
        <v>186</v>
      </c>
      <c r="CY71">
        <f t="shared" si="22"/>
        <v>-9</v>
      </c>
      <c r="DA71" s="2" t="s">
        <v>186</v>
      </c>
      <c r="DB71" s="3">
        <v>427</v>
      </c>
      <c r="DF71" s="2" t="s">
        <v>186</v>
      </c>
      <c r="DG71">
        <f t="shared" si="23"/>
        <v>354.67</v>
      </c>
      <c r="DR71" s="2" t="s">
        <v>186</v>
      </c>
      <c r="DS71">
        <f t="shared" si="24"/>
        <v>-39.407777777777781</v>
      </c>
    </row>
    <row r="72" spans="1:123" x14ac:dyDescent="0.2">
      <c r="A72" t="s">
        <v>187</v>
      </c>
      <c r="B72">
        <v>166</v>
      </c>
      <c r="G72" t="s">
        <v>187</v>
      </c>
      <c r="H72">
        <f t="shared" si="16"/>
        <v>-3</v>
      </c>
      <c r="J72" t="s">
        <v>187</v>
      </c>
      <c r="K72">
        <v>459</v>
      </c>
      <c r="P72" t="s">
        <v>187</v>
      </c>
      <c r="Q72">
        <f t="shared" si="17"/>
        <v>389.33</v>
      </c>
      <c r="U72" t="s">
        <v>187</v>
      </c>
      <c r="V72">
        <f t="shared" si="18"/>
        <v>-129.77666666666667</v>
      </c>
      <c r="AM72" t="s">
        <v>187</v>
      </c>
      <c r="AN72">
        <v>154</v>
      </c>
      <c r="AR72" t="s">
        <v>187</v>
      </c>
      <c r="AS72">
        <f t="shared" si="19"/>
        <v>-15</v>
      </c>
      <c r="AV72" t="s">
        <v>187</v>
      </c>
      <c r="AW72">
        <v>327</v>
      </c>
      <c r="BB72" t="s">
        <v>187</v>
      </c>
      <c r="BC72">
        <f t="shared" si="20"/>
        <v>258.33</v>
      </c>
      <c r="BE72" s="1" t="s">
        <v>187</v>
      </c>
      <c r="BF72">
        <f t="shared" si="21"/>
        <v>-17.221999999999998</v>
      </c>
      <c r="CS72" s="2" t="s">
        <v>187</v>
      </c>
      <c r="CT72" s="3">
        <v>172</v>
      </c>
      <c r="CX72" s="2" t="s">
        <v>187</v>
      </c>
      <c r="CY72">
        <f t="shared" si="22"/>
        <v>-3</v>
      </c>
      <c r="DA72" s="2" t="s">
        <v>187</v>
      </c>
      <c r="DB72" s="3">
        <v>397</v>
      </c>
      <c r="DF72" s="2" t="s">
        <v>187</v>
      </c>
      <c r="DG72">
        <f t="shared" si="23"/>
        <v>324.67</v>
      </c>
      <c r="DR72" s="2" t="s">
        <v>187</v>
      </c>
      <c r="DS72">
        <f t="shared" si="24"/>
        <v>-108.22333333333334</v>
      </c>
    </row>
    <row r="73" spans="1:123" x14ac:dyDescent="0.2">
      <c r="A73" t="s">
        <v>153</v>
      </c>
      <c r="B73">
        <v>163</v>
      </c>
      <c r="G73" t="s">
        <v>153</v>
      </c>
      <c r="H73">
        <f t="shared" si="16"/>
        <v>-6</v>
      </c>
      <c r="J73" t="s">
        <v>153</v>
      </c>
      <c r="K73">
        <v>215</v>
      </c>
      <c r="P73" t="s">
        <v>153</v>
      </c>
      <c r="Q73">
        <f t="shared" si="17"/>
        <v>145.32999999999998</v>
      </c>
      <c r="U73" t="s">
        <v>153</v>
      </c>
      <c r="V73">
        <f t="shared" si="18"/>
        <v>-24.221666666666664</v>
      </c>
      <c r="AM73" t="s">
        <v>153</v>
      </c>
      <c r="AN73">
        <v>174</v>
      </c>
      <c r="AR73" t="s">
        <v>153</v>
      </c>
      <c r="AS73">
        <f t="shared" si="19"/>
        <v>5</v>
      </c>
      <c r="AV73" t="s">
        <v>153</v>
      </c>
      <c r="AW73">
        <v>646</v>
      </c>
      <c r="BB73" t="s">
        <v>153</v>
      </c>
      <c r="BC73">
        <f t="shared" si="20"/>
        <v>577.33000000000004</v>
      </c>
      <c r="BE73" s="1" t="s">
        <v>153</v>
      </c>
      <c r="BF73">
        <f t="shared" si="21"/>
        <v>115.46600000000001</v>
      </c>
      <c r="CS73" s="2" t="s">
        <v>153</v>
      </c>
      <c r="CT73" s="3">
        <v>165</v>
      </c>
      <c r="CX73" s="2" t="s">
        <v>153</v>
      </c>
      <c r="CY73">
        <f t="shared" si="22"/>
        <v>-10</v>
      </c>
      <c r="DA73" s="2" t="s">
        <v>153</v>
      </c>
      <c r="DB73" s="3">
        <v>345</v>
      </c>
      <c r="DF73" s="2" t="s">
        <v>153</v>
      </c>
      <c r="DG73">
        <f t="shared" si="23"/>
        <v>272.67</v>
      </c>
      <c r="DR73" s="2" t="s">
        <v>153</v>
      </c>
      <c r="DS73">
        <f t="shared" si="24"/>
        <v>-27.267000000000003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FC40-B1DC-F146-83A8-882DCCDBBB72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Stats</vt:lpstr>
      <vt:lpstr>Analyzed Data from 3 prod flow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Martin, Kelsey S</dc:creator>
  <cp:lastModifiedBy>He, Bin</cp:lastModifiedBy>
  <dcterms:created xsi:type="dcterms:W3CDTF">2024-07-16T22:42:00Z</dcterms:created>
  <dcterms:modified xsi:type="dcterms:W3CDTF">2025-04-26T18:45:10Z</dcterms:modified>
</cp:coreProperties>
</file>